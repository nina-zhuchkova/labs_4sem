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\оптика\лабы\кольца ньютона\"/>
    </mc:Choice>
  </mc:AlternateContent>
  <bookViews>
    <workbookView xWindow="0" yWindow="0" windowWidth="14750" windowHeight="7260" activeTab="1"/>
  </bookViews>
  <sheets>
    <sheet name="желтый" sheetId="1" r:id="rId1"/>
    <sheet name="люфт" sheetId="5" r:id="rId2"/>
    <sheet name="желтый_темные_светлые" sheetId="4" r:id="rId3"/>
    <sheet name="биения" sheetId="2" r:id="rId4"/>
    <sheet name="калибровка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5"/>
  <c r="H2" i="5"/>
  <c r="I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" i="5"/>
  <c r="D2" i="5"/>
  <c r="C2" i="5"/>
  <c r="K2" i="5"/>
  <c r="E38" i="4"/>
  <c r="E37" i="4"/>
  <c r="E36" i="4"/>
  <c r="E35" i="4"/>
  <c r="E34" i="4"/>
  <c r="E33" i="4"/>
  <c r="E32" i="4"/>
  <c r="E31" i="4"/>
  <c r="D32" i="4"/>
  <c r="D33" i="4"/>
  <c r="D34" i="4"/>
  <c r="D35" i="4"/>
  <c r="D36" i="4"/>
  <c r="D37" i="4"/>
  <c r="D38" i="4"/>
  <c r="D31" i="4"/>
  <c r="E12" i="4"/>
  <c r="E11" i="4"/>
  <c r="E10" i="4"/>
  <c r="E9" i="4"/>
  <c r="E8" i="4"/>
  <c r="E7" i="4"/>
  <c r="E6" i="4"/>
  <c r="E5" i="4"/>
  <c r="E4" i="4"/>
  <c r="E3" i="4"/>
  <c r="E2" i="4"/>
  <c r="D2" i="4"/>
  <c r="D3" i="4"/>
  <c r="D4" i="4"/>
  <c r="D5" i="4"/>
  <c r="D6" i="4"/>
  <c r="D7" i="4"/>
  <c r="D8" i="4"/>
  <c r="D9" i="4"/>
  <c r="D10" i="4"/>
  <c r="D11" i="4"/>
  <c r="D12" i="4"/>
  <c r="C1" i="3"/>
  <c r="D20" i="1" l="1"/>
  <c r="E22" i="1" s="1"/>
  <c r="E27" i="1" l="1"/>
  <c r="E37" i="1"/>
  <c r="E26" i="1"/>
  <c r="E36" i="1"/>
  <c r="E35" i="1"/>
  <c r="E34" i="1"/>
  <c r="E29" i="1"/>
  <c r="E28" i="1"/>
  <c r="E33" i="1"/>
  <c r="E25" i="1"/>
  <c r="E23" i="1"/>
  <c r="E32" i="1"/>
  <c r="E24" i="1"/>
  <c r="E21" i="1"/>
  <c r="E31" i="1"/>
  <c r="E38" i="1"/>
  <c r="E30" i="1"/>
</calcChain>
</file>

<file path=xl/sharedStrings.xml><?xml version="1.0" encoding="utf-8"?>
<sst xmlns="http://schemas.openxmlformats.org/spreadsheetml/2006/main" count="25" uniqueCount="23">
  <si>
    <t>n, номер кольца</t>
  </si>
  <si>
    <t>center</t>
  </si>
  <si>
    <t>15 полос</t>
  </si>
  <si>
    <t>оценка: фокус 2 см</t>
  </si>
  <si>
    <t>78 - 1101</t>
  </si>
  <si>
    <t>1mm</t>
  </si>
  <si>
    <t>r_min, дел</t>
  </si>
  <si>
    <t>r_max, дел</t>
  </si>
  <si>
    <t>дел</t>
  </si>
  <si>
    <t>это для графика, не смари</t>
  </si>
  <si>
    <t>dark r_min, дел</t>
  </si>
  <si>
    <t>light r_min, дел</t>
  </si>
  <si>
    <t>light r_max, дел</t>
  </si>
  <si>
    <t>dark r_max, дел</t>
  </si>
  <si>
    <t>right_outer</t>
  </si>
  <si>
    <t>left_outer</t>
  </si>
  <si>
    <t>left_inner</t>
  </si>
  <si>
    <t>right_inner</t>
  </si>
  <si>
    <t>left_outer_x</t>
  </si>
  <si>
    <t>left_inner_x</t>
  </si>
  <si>
    <t>right_inner_x</t>
  </si>
  <si>
    <t>right_outer_x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</si>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</sst>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измерения слева от центра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желтый!$A$21:$A$38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желтый!$E$21:$E$38</c:f>
              <c:numCache>
                <c:formatCode>General</c:formatCode>
                <c:ptCount val="18"/>
                <c:pt idx="0">
                  <c:v>291</c:v>
                </c:pt>
                <c:pt idx="1">
                  <c:v>249</c:v>
                </c:pt>
                <c:pt idx="2">
                  <c:v>224</c:v>
                </c:pt>
                <c:pt idx="3">
                  <c:v>197</c:v>
                </c:pt>
                <c:pt idx="4">
                  <c:v>179</c:v>
                </c:pt>
                <c:pt idx="5">
                  <c:v>160</c:v>
                </c:pt>
                <c:pt idx="6">
                  <c:v>142</c:v>
                </c:pt>
                <c:pt idx="7">
                  <c:v>125</c:v>
                </c:pt>
                <c:pt idx="8">
                  <c:v>109</c:v>
                </c:pt>
                <c:pt idx="9">
                  <c:v>96</c:v>
                </c:pt>
                <c:pt idx="10">
                  <c:v>81</c:v>
                </c:pt>
                <c:pt idx="11">
                  <c:v>69</c:v>
                </c:pt>
                <c:pt idx="12">
                  <c:v>56</c:v>
                </c:pt>
                <c:pt idx="13">
                  <c:v>44</c:v>
                </c:pt>
                <c:pt idx="14">
                  <c:v>35</c:v>
                </c:pt>
                <c:pt idx="15">
                  <c:v>23</c:v>
                </c:pt>
                <c:pt idx="16">
                  <c:v>13</c:v>
                </c:pt>
                <c:pt idx="17">
                  <c:v>3</c:v>
                </c:pt>
              </c:numCache>
            </c:numRef>
          </c:yVal>
          <c:smooth val="0"/>
        </c:ser>
        <c:ser>
          <c:idx val="1"/>
          <c:order val="1"/>
          <c:tx>
            <c:v>измерения справа от центра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желтый!$E$2:$E$19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xVal>
          <c:yVal>
            <c:numRef>
              <c:f>желтый!$B$2:$B$19</c:f>
              <c:numCache>
                <c:formatCode>General</c:formatCode>
                <c:ptCount val="18"/>
                <c:pt idx="0">
                  <c:v>45</c:v>
                </c:pt>
                <c:pt idx="1">
                  <c:v>48</c:v>
                </c:pt>
                <c:pt idx="2">
                  <c:v>56.000000000000007</c:v>
                </c:pt>
                <c:pt idx="3">
                  <c:v>63</c:v>
                </c:pt>
                <c:pt idx="4">
                  <c:v>66</c:v>
                </c:pt>
                <c:pt idx="5">
                  <c:v>76</c:v>
                </c:pt>
                <c:pt idx="6">
                  <c:v>91</c:v>
                </c:pt>
                <c:pt idx="7">
                  <c:v>105</c:v>
                </c:pt>
                <c:pt idx="8">
                  <c:v>117</c:v>
                </c:pt>
                <c:pt idx="9">
                  <c:v>133</c:v>
                </c:pt>
                <c:pt idx="10">
                  <c:v>149</c:v>
                </c:pt>
                <c:pt idx="11">
                  <c:v>166</c:v>
                </c:pt>
                <c:pt idx="12">
                  <c:v>179</c:v>
                </c:pt>
                <c:pt idx="13">
                  <c:v>200</c:v>
                </c:pt>
                <c:pt idx="14">
                  <c:v>221</c:v>
                </c:pt>
                <c:pt idx="15">
                  <c:v>247.00000000000003</c:v>
                </c:pt>
                <c:pt idx="16">
                  <c:v>281</c:v>
                </c:pt>
                <c:pt idx="17">
                  <c:v>330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39856"/>
        <c:axId val="176078808"/>
      </c:scatterChart>
      <c:valAx>
        <c:axId val="17543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78808"/>
        <c:crosses val="autoZero"/>
        <c:crossBetween val="midCat"/>
      </c:valAx>
      <c:valAx>
        <c:axId val="17607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43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269875</xdr:colOff>
      <xdr:row>3</xdr:row>
      <xdr:rowOff>85725</xdr:rowOff>
    </xdr:from>
    <xdr:to>
      <xdr:col>15</xdr:col>
      <xdr:colOff>574675</xdr:colOff>
      <xdr:row>18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7" workbookViewId="0">
      <selection activeCell="C21" sqref="C21:C38"/>
    </sheetView>
  </sheetViews>
  <sheetFormatPr defaultRowHeight="14.5" x14ac:dyDescent="0.35"/>
  <cols>
    <col min="1" max="1" width="15" bestFit="1" customWidth="1"/>
    <col min="2" max="2" width="16" bestFit="1" customWidth="1"/>
    <col min="3" max="3" width="11.1796875" bestFit="1" customWidth="1"/>
    <col min="5" max="5" width="23.7265625" bestFit="1" customWidth="1"/>
  </cols>
  <sheetData>
    <row r="1" spans="1:5" x14ac:dyDescent="0.35">
      <c r="A1" t="s">
        <v>0</v>
      </c>
      <c r="B1" t="s">
        <v>6</v>
      </c>
      <c r="C1" t="s">
        <v>7</v>
      </c>
      <c r="E1" t="s">
        <v>9</v>
      </c>
    </row>
    <row r="2" spans="1:5" x14ac:dyDescent="0.35">
      <c r="A2">
        <v>-17</v>
      </c>
      <c r="B2">
        <v>45</v>
      </c>
      <c r="C2">
        <v>45</v>
      </c>
      <c r="E2">
        <v>17</v>
      </c>
    </row>
    <row r="3" spans="1:5" x14ac:dyDescent="0.35">
      <c r="A3">
        <v>-16</v>
      </c>
      <c r="B3">
        <v>48</v>
      </c>
      <c r="C3">
        <v>48</v>
      </c>
      <c r="E3">
        <v>16</v>
      </c>
    </row>
    <row r="4" spans="1:5" x14ac:dyDescent="0.35">
      <c r="A4">
        <v>-15</v>
      </c>
      <c r="B4">
        <v>56.000000000000007</v>
      </c>
      <c r="C4">
        <v>56.000000000000007</v>
      </c>
      <c r="E4">
        <v>15</v>
      </c>
    </row>
    <row r="5" spans="1:5" x14ac:dyDescent="0.35">
      <c r="A5">
        <v>-14</v>
      </c>
      <c r="B5">
        <v>63</v>
      </c>
      <c r="C5">
        <v>63</v>
      </c>
      <c r="E5">
        <v>14</v>
      </c>
    </row>
    <row r="6" spans="1:5" x14ac:dyDescent="0.35">
      <c r="A6">
        <v>-13</v>
      </c>
      <c r="B6">
        <v>66</v>
      </c>
      <c r="C6">
        <v>66</v>
      </c>
      <c r="E6">
        <v>13</v>
      </c>
    </row>
    <row r="7" spans="1:5" x14ac:dyDescent="0.35">
      <c r="A7">
        <v>-12</v>
      </c>
      <c r="B7">
        <v>76</v>
      </c>
      <c r="C7">
        <v>76</v>
      </c>
      <c r="E7">
        <v>12</v>
      </c>
    </row>
    <row r="8" spans="1:5" x14ac:dyDescent="0.35">
      <c r="A8">
        <v>-11</v>
      </c>
      <c r="B8">
        <v>91</v>
      </c>
      <c r="C8">
        <v>91</v>
      </c>
      <c r="E8">
        <v>11</v>
      </c>
    </row>
    <row r="9" spans="1:5" x14ac:dyDescent="0.35">
      <c r="A9">
        <v>-10</v>
      </c>
      <c r="B9">
        <v>105</v>
      </c>
      <c r="C9">
        <v>105</v>
      </c>
      <c r="E9">
        <v>10</v>
      </c>
    </row>
    <row r="10" spans="1:5" x14ac:dyDescent="0.35">
      <c r="A10">
        <v>-9</v>
      </c>
      <c r="B10">
        <v>117</v>
      </c>
      <c r="C10">
        <v>117</v>
      </c>
      <c r="E10">
        <v>9</v>
      </c>
    </row>
    <row r="11" spans="1:5" x14ac:dyDescent="0.35">
      <c r="A11">
        <v>-8</v>
      </c>
      <c r="B11">
        <v>133</v>
      </c>
      <c r="C11">
        <v>133</v>
      </c>
      <c r="E11">
        <v>8</v>
      </c>
    </row>
    <row r="12" spans="1:5" x14ac:dyDescent="0.35">
      <c r="A12">
        <v>-7</v>
      </c>
      <c r="B12">
        <v>149</v>
      </c>
      <c r="C12">
        <v>149</v>
      </c>
      <c r="E12">
        <v>7</v>
      </c>
    </row>
    <row r="13" spans="1:5" x14ac:dyDescent="0.35">
      <c r="A13">
        <v>-6</v>
      </c>
      <c r="B13">
        <v>166</v>
      </c>
      <c r="C13">
        <v>166</v>
      </c>
      <c r="E13">
        <v>6</v>
      </c>
    </row>
    <row r="14" spans="1:5" x14ac:dyDescent="0.35">
      <c r="A14">
        <v>-5</v>
      </c>
      <c r="B14">
        <v>179</v>
      </c>
      <c r="C14">
        <v>186</v>
      </c>
      <c r="E14">
        <v>5</v>
      </c>
    </row>
    <row r="15" spans="1:5" x14ac:dyDescent="0.35">
      <c r="A15">
        <v>-4</v>
      </c>
      <c r="B15">
        <v>200</v>
      </c>
      <c r="C15">
        <v>208</v>
      </c>
      <c r="E15">
        <v>4</v>
      </c>
    </row>
    <row r="16" spans="1:5" x14ac:dyDescent="0.35">
      <c r="A16">
        <v>-3</v>
      </c>
      <c r="B16">
        <v>221</v>
      </c>
      <c r="C16">
        <v>234</v>
      </c>
      <c r="E16">
        <v>3</v>
      </c>
    </row>
    <row r="17" spans="1:5" x14ac:dyDescent="0.35">
      <c r="A17">
        <v>-2</v>
      </c>
      <c r="B17">
        <v>247.00000000000003</v>
      </c>
      <c r="C17">
        <v>260</v>
      </c>
      <c r="E17">
        <v>2</v>
      </c>
    </row>
    <row r="18" spans="1:5" x14ac:dyDescent="0.35">
      <c r="A18">
        <v>-1</v>
      </c>
      <c r="B18">
        <v>281</v>
      </c>
      <c r="C18">
        <v>299</v>
      </c>
      <c r="E18">
        <v>1</v>
      </c>
    </row>
    <row r="19" spans="1:5" x14ac:dyDescent="0.35">
      <c r="A19">
        <v>0</v>
      </c>
      <c r="B19">
        <v>330</v>
      </c>
      <c r="D19" t="s">
        <v>1</v>
      </c>
      <c r="E19">
        <v>0</v>
      </c>
    </row>
    <row r="20" spans="1:5" x14ac:dyDescent="0.35">
      <c r="A20">
        <v>0</v>
      </c>
      <c r="B20">
        <v>419</v>
      </c>
      <c r="D20">
        <f>(B19+B20)/2</f>
        <v>374.5</v>
      </c>
    </row>
    <row r="21" spans="1:5" x14ac:dyDescent="0.35">
      <c r="A21">
        <v>1</v>
      </c>
      <c r="B21">
        <v>458</v>
      </c>
      <c r="C21">
        <v>471</v>
      </c>
      <c r="E21">
        <f>2 * $D$20 - B21</f>
        <v>291</v>
      </c>
    </row>
    <row r="22" spans="1:5" x14ac:dyDescent="0.35">
      <c r="A22">
        <v>2</v>
      </c>
      <c r="B22">
        <v>500</v>
      </c>
      <c r="C22">
        <v>507</v>
      </c>
      <c r="E22">
        <f t="shared" ref="E22:E38" si="0">2 * $D$20 - B22</f>
        <v>249</v>
      </c>
    </row>
    <row r="23" spans="1:5" x14ac:dyDescent="0.35">
      <c r="A23">
        <v>3</v>
      </c>
      <c r="B23">
        <v>525</v>
      </c>
      <c r="C23">
        <v>533</v>
      </c>
      <c r="E23">
        <f t="shared" si="0"/>
        <v>224</v>
      </c>
    </row>
    <row r="24" spans="1:5" x14ac:dyDescent="0.35">
      <c r="A24">
        <v>4</v>
      </c>
      <c r="B24">
        <v>552</v>
      </c>
      <c r="C24">
        <v>558</v>
      </c>
      <c r="E24">
        <f t="shared" si="0"/>
        <v>197</v>
      </c>
    </row>
    <row r="25" spans="1:5" x14ac:dyDescent="0.35">
      <c r="A25">
        <v>5</v>
      </c>
      <c r="B25">
        <v>570</v>
      </c>
      <c r="C25">
        <v>576</v>
      </c>
      <c r="E25">
        <f t="shared" si="0"/>
        <v>179</v>
      </c>
    </row>
    <row r="26" spans="1:5" x14ac:dyDescent="0.35">
      <c r="A26">
        <v>6</v>
      </c>
      <c r="B26">
        <v>589</v>
      </c>
      <c r="C26">
        <v>596</v>
      </c>
      <c r="E26">
        <f t="shared" si="0"/>
        <v>160</v>
      </c>
    </row>
    <row r="27" spans="1:5" x14ac:dyDescent="0.35">
      <c r="A27">
        <v>7</v>
      </c>
      <c r="B27">
        <v>607</v>
      </c>
      <c r="C27">
        <v>614</v>
      </c>
      <c r="E27">
        <f t="shared" si="0"/>
        <v>142</v>
      </c>
    </row>
    <row r="28" spans="1:5" x14ac:dyDescent="0.35">
      <c r="A28">
        <v>8</v>
      </c>
      <c r="B28">
        <v>624</v>
      </c>
      <c r="C28">
        <v>629</v>
      </c>
      <c r="E28">
        <f t="shared" si="0"/>
        <v>125</v>
      </c>
    </row>
    <row r="29" spans="1:5" x14ac:dyDescent="0.35">
      <c r="A29">
        <v>9</v>
      </c>
      <c r="B29">
        <v>640</v>
      </c>
      <c r="C29">
        <v>641</v>
      </c>
      <c r="E29">
        <f t="shared" si="0"/>
        <v>109</v>
      </c>
    </row>
    <row r="30" spans="1:5" x14ac:dyDescent="0.35">
      <c r="A30">
        <v>10</v>
      </c>
      <c r="B30">
        <v>653</v>
      </c>
      <c r="C30">
        <v>653</v>
      </c>
      <c r="E30">
        <f t="shared" si="0"/>
        <v>96</v>
      </c>
    </row>
    <row r="31" spans="1:5" x14ac:dyDescent="0.35">
      <c r="A31">
        <v>11</v>
      </c>
      <c r="B31">
        <v>668</v>
      </c>
      <c r="C31">
        <v>668</v>
      </c>
      <c r="E31">
        <f t="shared" si="0"/>
        <v>81</v>
      </c>
    </row>
    <row r="32" spans="1:5" x14ac:dyDescent="0.35">
      <c r="A32">
        <v>12</v>
      </c>
      <c r="B32">
        <v>680</v>
      </c>
      <c r="C32">
        <v>680</v>
      </c>
      <c r="E32">
        <f t="shared" si="0"/>
        <v>69</v>
      </c>
    </row>
    <row r="33" spans="1:5" x14ac:dyDescent="0.35">
      <c r="A33">
        <v>13</v>
      </c>
      <c r="B33">
        <v>693</v>
      </c>
      <c r="C33">
        <v>693</v>
      </c>
      <c r="E33">
        <f t="shared" si="0"/>
        <v>56</v>
      </c>
    </row>
    <row r="34" spans="1:5" x14ac:dyDescent="0.35">
      <c r="A34">
        <v>14</v>
      </c>
      <c r="B34">
        <v>705</v>
      </c>
      <c r="C34">
        <v>705</v>
      </c>
      <c r="E34">
        <f t="shared" si="0"/>
        <v>44</v>
      </c>
    </row>
    <row r="35" spans="1:5" x14ac:dyDescent="0.35">
      <c r="A35">
        <v>15</v>
      </c>
      <c r="B35">
        <v>714</v>
      </c>
      <c r="C35">
        <v>714</v>
      </c>
      <c r="E35">
        <f t="shared" si="0"/>
        <v>35</v>
      </c>
    </row>
    <row r="36" spans="1:5" x14ac:dyDescent="0.35">
      <c r="A36">
        <v>16</v>
      </c>
      <c r="B36">
        <v>726</v>
      </c>
      <c r="C36">
        <v>726</v>
      </c>
      <c r="E36">
        <f t="shared" si="0"/>
        <v>23</v>
      </c>
    </row>
    <row r="37" spans="1:5" x14ac:dyDescent="0.35">
      <c r="A37">
        <v>17</v>
      </c>
      <c r="B37">
        <v>736</v>
      </c>
      <c r="C37">
        <v>736</v>
      </c>
      <c r="E37">
        <f t="shared" si="0"/>
        <v>13</v>
      </c>
    </row>
    <row r="38" spans="1:5" x14ac:dyDescent="0.35">
      <c r="A38">
        <v>18</v>
      </c>
      <c r="B38">
        <v>746</v>
      </c>
      <c r="C38">
        <v>746</v>
      </c>
      <c r="E38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J8" sqref="J8"/>
    </sheetView>
  </sheetViews>
  <sheetFormatPr defaultRowHeight="14.5" x14ac:dyDescent="0.35"/>
  <cols>
    <col min="2" max="2" width="11" bestFit="1" customWidth="1"/>
    <col min="3" max="3" width="10.81640625" bestFit="1" customWidth="1"/>
    <col min="4" max="4" width="11.90625" bestFit="1" customWidth="1"/>
    <col min="5" max="5" width="12.08984375" bestFit="1" customWidth="1"/>
    <col min="6" max="6" width="9.08984375" bestFit="1" customWidth="1"/>
    <col min="7" max="7" width="8.90625" bestFit="1" customWidth="1"/>
    <col min="8" max="8" width="10" bestFit="1" customWidth="1"/>
    <col min="9" max="9" width="10.1796875" bestFit="1" customWidth="1"/>
  </cols>
  <sheetData>
    <row r="1" spans="1:11" x14ac:dyDescent="0.35">
      <c r="A1" t="s">
        <v>22</v>
      </c>
      <c r="B1" t="s">
        <v>18</v>
      </c>
      <c r="C1" t="s">
        <v>19</v>
      </c>
      <c r="D1" t="s">
        <v>20</v>
      </c>
      <c r="E1" t="s">
        <v>21</v>
      </c>
      <c r="F1" t="s">
        <v>15</v>
      </c>
      <c r="G1" t="s">
        <v>16</v>
      </c>
      <c r="H1" t="s">
        <v>17</v>
      </c>
      <c r="I1" t="s">
        <v>14</v>
      </c>
      <c r="K1" t="s">
        <v>1</v>
      </c>
    </row>
    <row r="2" spans="1:11" x14ac:dyDescent="0.35">
      <c r="A2">
        <v>0</v>
      </c>
      <c r="B2">
        <v>330</v>
      </c>
      <c r="C2">
        <f>K2</f>
        <v>380.48571428571427</v>
      </c>
      <c r="D2">
        <f>K2</f>
        <v>380.48571428571427</v>
      </c>
      <c r="E2">
        <v>419</v>
      </c>
      <c r="F2">
        <f>ABS(B2 - $K$2)</f>
        <v>50.485714285714266</v>
      </c>
      <c r="G2">
        <f t="shared" ref="G2:I17" si="0">ABS(C2 - $K$2)</f>
        <v>0</v>
      </c>
      <c r="H2">
        <f t="shared" si="0"/>
        <v>0</v>
      </c>
      <c r="I2">
        <f t="shared" si="0"/>
        <v>38.514285714285734</v>
      </c>
      <c r="K2">
        <f>AVERAGE(B2:B19, C3:C19, D3:D19, E2:E19)</f>
        <v>380.48571428571427</v>
      </c>
    </row>
    <row r="3" spans="1:11" x14ac:dyDescent="0.35">
      <c r="A3">
        <v>1</v>
      </c>
      <c r="B3">
        <v>281</v>
      </c>
      <c r="C3">
        <v>299</v>
      </c>
      <c r="D3">
        <v>458</v>
      </c>
      <c r="E3">
        <v>471</v>
      </c>
      <c r="F3">
        <f t="shared" ref="F3:I19" si="1">ABS(B3 - $K$2)</f>
        <v>99.485714285714266</v>
      </c>
      <c r="G3">
        <f t="shared" si="0"/>
        <v>81.485714285714266</v>
      </c>
      <c r="H3">
        <f t="shared" si="0"/>
        <v>77.514285714285734</v>
      </c>
      <c r="I3">
        <f t="shared" si="0"/>
        <v>90.514285714285734</v>
      </c>
    </row>
    <row r="4" spans="1:11" x14ac:dyDescent="0.35">
      <c r="A4">
        <v>2</v>
      </c>
      <c r="B4">
        <v>247.00000000000003</v>
      </c>
      <c r="C4">
        <v>260</v>
      </c>
      <c r="D4">
        <v>500</v>
      </c>
      <c r="E4">
        <v>507</v>
      </c>
      <c r="F4">
        <f t="shared" si="1"/>
        <v>133.48571428571424</v>
      </c>
      <c r="G4">
        <f t="shared" si="0"/>
        <v>120.48571428571427</v>
      </c>
      <c r="H4">
        <f t="shared" si="0"/>
        <v>119.51428571428573</v>
      </c>
      <c r="I4">
        <f t="shared" si="0"/>
        <v>126.51428571428573</v>
      </c>
    </row>
    <row r="5" spans="1:11" x14ac:dyDescent="0.35">
      <c r="A5">
        <v>3</v>
      </c>
      <c r="B5">
        <v>221</v>
      </c>
      <c r="C5">
        <v>234</v>
      </c>
      <c r="D5">
        <v>525</v>
      </c>
      <c r="E5">
        <v>533</v>
      </c>
      <c r="F5">
        <f t="shared" si="1"/>
        <v>159.48571428571427</v>
      </c>
      <c r="G5">
        <f t="shared" si="0"/>
        <v>146.48571428571427</v>
      </c>
      <c r="H5">
        <f t="shared" si="0"/>
        <v>144.51428571428573</v>
      </c>
      <c r="I5">
        <f t="shared" si="0"/>
        <v>152.51428571428573</v>
      </c>
    </row>
    <row r="6" spans="1:11" x14ac:dyDescent="0.35">
      <c r="A6">
        <v>4</v>
      </c>
      <c r="B6">
        <v>200</v>
      </c>
      <c r="C6">
        <v>208</v>
      </c>
      <c r="D6">
        <v>552</v>
      </c>
      <c r="E6">
        <v>558</v>
      </c>
      <c r="F6">
        <f t="shared" si="1"/>
        <v>180.48571428571427</v>
      </c>
      <c r="G6">
        <f t="shared" si="0"/>
        <v>172.48571428571427</v>
      </c>
      <c r="H6">
        <f t="shared" si="0"/>
        <v>171.51428571428573</v>
      </c>
      <c r="I6">
        <f t="shared" si="0"/>
        <v>177.51428571428573</v>
      </c>
    </row>
    <row r="7" spans="1:11" x14ac:dyDescent="0.35">
      <c r="A7">
        <v>5</v>
      </c>
      <c r="B7">
        <v>179</v>
      </c>
      <c r="C7">
        <v>186</v>
      </c>
      <c r="D7">
        <v>570</v>
      </c>
      <c r="E7">
        <v>576</v>
      </c>
      <c r="F7">
        <f t="shared" si="1"/>
        <v>201.48571428571427</v>
      </c>
      <c r="G7">
        <f t="shared" si="0"/>
        <v>194.48571428571427</v>
      </c>
      <c r="H7">
        <f t="shared" si="0"/>
        <v>189.51428571428573</v>
      </c>
      <c r="I7">
        <f t="shared" si="0"/>
        <v>195.51428571428573</v>
      </c>
    </row>
    <row r="8" spans="1:11" x14ac:dyDescent="0.35">
      <c r="A8">
        <v>6</v>
      </c>
      <c r="B8">
        <v>166</v>
      </c>
      <c r="C8">
        <v>166</v>
      </c>
      <c r="D8">
        <v>589</v>
      </c>
      <c r="E8">
        <v>596</v>
      </c>
      <c r="F8">
        <f t="shared" si="1"/>
        <v>214.48571428571427</v>
      </c>
      <c r="G8">
        <f t="shared" si="0"/>
        <v>214.48571428571427</v>
      </c>
      <c r="H8">
        <f t="shared" si="0"/>
        <v>208.51428571428573</v>
      </c>
      <c r="I8">
        <f t="shared" si="0"/>
        <v>215.51428571428573</v>
      </c>
    </row>
    <row r="9" spans="1:11" x14ac:dyDescent="0.35">
      <c r="A9">
        <v>7</v>
      </c>
      <c r="B9">
        <v>149</v>
      </c>
      <c r="C9">
        <v>149</v>
      </c>
      <c r="D9">
        <v>607</v>
      </c>
      <c r="E9">
        <v>614</v>
      </c>
      <c r="F9">
        <f t="shared" si="1"/>
        <v>231.48571428571427</v>
      </c>
      <c r="G9">
        <f t="shared" si="0"/>
        <v>231.48571428571427</v>
      </c>
      <c r="H9">
        <f t="shared" si="0"/>
        <v>226.51428571428573</v>
      </c>
      <c r="I9">
        <f t="shared" si="0"/>
        <v>233.51428571428573</v>
      </c>
    </row>
    <row r="10" spans="1:11" x14ac:dyDescent="0.35">
      <c r="A10">
        <v>8</v>
      </c>
      <c r="B10">
        <v>133</v>
      </c>
      <c r="C10">
        <v>133</v>
      </c>
      <c r="D10">
        <v>624</v>
      </c>
      <c r="E10">
        <v>629</v>
      </c>
      <c r="F10">
        <f t="shared" si="1"/>
        <v>247.48571428571427</v>
      </c>
      <c r="G10">
        <f t="shared" si="0"/>
        <v>247.48571428571427</v>
      </c>
      <c r="H10">
        <f t="shared" si="0"/>
        <v>243.51428571428573</v>
      </c>
      <c r="I10">
        <f t="shared" si="0"/>
        <v>248.51428571428573</v>
      </c>
    </row>
    <row r="11" spans="1:11" x14ac:dyDescent="0.35">
      <c r="A11">
        <v>9</v>
      </c>
      <c r="B11">
        <v>117</v>
      </c>
      <c r="C11">
        <v>117</v>
      </c>
      <c r="D11">
        <v>640</v>
      </c>
      <c r="E11">
        <v>641</v>
      </c>
      <c r="F11">
        <f t="shared" si="1"/>
        <v>263.48571428571427</v>
      </c>
      <c r="G11">
        <f t="shared" si="0"/>
        <v>263.48571428571427</v>
      </c>
      <c r="H11">
        <f t="shared" si="0"/>
        <v>259.51428571428573</v>
      </c>
      <c r="I11">
        <f t="shared" si="0"/>
        <v>260.51428571428573</v>
      </c>
    </row>
    <row r="12" spans="1:11" x14ac:dyDescent="0.35">
      <c r="A12">
        <v>10</v>
      </c>
      <c r="B12">
        <v>105</v>
      </c>
      <c r="C12">
        <v>105</v>
      </c>
      <c r="D12">
        <v>653</v>
      </c>
      <c r="E12">
        <v>653</v>
      </c>
      <c r="F12">
        <f t="shared" si="1"/>
        <v>275.48571428571427</v>
      </c>
      <c r="G12">
        <f t="shared" si="0"/>
        <v>275.48571428571427</v>
      </c>
      <c r="H12">
        <f t="shared" si="0"/>
        <v>272.51428571428573</v>
      </c>
      <c r="I12">
        <f t="shared" si="0"/>
        <v>272.51428571428573</v>
      </c>
    </row>
    <row r="13" spans="1:11" x14ac:dyDescent="0.35">
      <c r="A13">
        <v>11</v>
      </c>
      <c r="B13">
        <v>91</v>
      </c>
      <c r="C13">
        <v>91</v>
      </c>
      <c r="D13">
        <v>668</v>
      </c>
      <c r="E13">
        <v>668</v>
      </c>
      <c r="F13">
        <f t="shared" si="1"/>
        <v>289.48571428571427</v>
      </c>
      <c r="G13">
        <f t="shared" si="0"/>
        <v>289.48571428571427</v>
      </c>
      <c r="H13">
        <f t="shared" si="0"/>
        <v>287.51428571428573</v>
      </c>
      <c r="I13">
        <f t="shared" si="0"/>
        <v>287.51428571428573</v>
      </c>
    </row>
    <row r="14" spans="1:11" x14ac:dyDescent="0.35">
      <c r="A14">
        <v>12</v>
      </c>
      <c r="B14">
        <v>76</v>
      </c>
      <c r="C14">
        <v>76</v>
      </c>
      <c r="D14">
        <v>680</v>
      </c>
      <c r="E14">
        <v>680</v>
      </c>
      <c r="F14">
        <f t="shared" si="1"/>
        <v>304.48571428571427</v>
      </c>
      <c r="G14">
        <f t="shared" si="0"/>
        <v>304.48571428571427</v>
      </c>
      <c r="H14">
        <f t="shared" si="0"/>
        <v>299.51428571428573</v>
      </c>
      <c r="I14">
        <f t="shared" si="0"/>
        <v>299.51428571428573</v>
      </c>
    </row>
    <row r="15" spans="1:11" x14ac:dyDescent="0.35">
      <c r="A15">
        <v>13</v>
      </c>
      <c r="B15">
        <v>66</v>
      </c>
      <c r="C15">
        <v>66</v>
      </c>
      <c r="D15">
        <v>693</v>
      </c>
      <c r="E15">
        <v>693</v>
      </c>
      <c r="F15">
        <f t="shared" si="1"/>
        <v>314.48571428571427</v>
      </c>
      <c r="G15">
        <f t="shared" si="0"/>
        <v>314.48571428571427</v>
      </c>
      <c r="H15">
        <f t="shared" si="0"/>
        <v>312.51428571428573</v>
      </c>
      <c r="I15">
        <f t="shared" si="0"/>
        <v>312.51428571428573</v>
      </c>
    </row>
    <row r="16" spans="1:11" x14ac:dyDescent="0.35">
      <c r="A16">
        <v>14</v>
      </c>
      <c r="B16">
        <v>63</v>
      </c>
      <c r="C16">
        <v>63</v>
      </c>
      <c r="D16">
        <v>705</v>
      </c>
      <c r="E16">
        <v>705</v>
      </c>
      <c r="F16">
        <f t="shared" si="1"/>
        <v>317.48571428571427</v>
      </c>
      <c r="G16">
        <f t="shared" si="0"/>
        <v>317.48571428571427</v>
      </c>
      <c r="H16">
        <f t="shared" si="0"/>
        <v>324.51428571428573</v>
      </c>
      <c r="I16">
        <f t="shared" si="0"/>
        <v>324.51428571428573</v>
      </c>
    </row>
    <row r="17" spans="1:9" x14ac:dyDescent="0.35">
      <c r="A17">
        <v>15</v>
      </c>
      <c r="B17">
        <v>56.000000000000007</v>
      </c>
      <c r="C17">
        <v>56.000000000000007</v>
      </c>
      <c r="D17">
        <v>714</v>
      </c>
      <c r="E17">
        <v>714</v>
      </c>
      <c r="F17">
        <f t="shared" si="1"/>
        <v>324.48571428571427</v>
      </c>
      <c r="G17">
        <f t="shared" si="0"/>
        <v>324.48571428571427</v>
      </c>
      <c r="H17">
        <f t="shared" si="0"/>
        <v>333.51428571428573</v>
      </c>
      <c r="I17">
        <f t="shared" si="0"/>
        <v>333.51428571428573</v>
      </c>
    </row>
    <row r="18" spans="1:9" x14ac:dyDescent="0.35">
      <c r="A18">
        <v>16</v>
      </c>
      <c r="B18">
        <v>48</v>
      </c>
      <c r="C18">
        <v>48</v>
      </c>
      <c r="D18">
        <v>726</v>
      </c>
      <c r="E18">
        <v>726</v>
      </c>
      <c r="F18">
        <f t="shared" si="1"/>
        <v>332.48571428571427</v>
      </c>
      <c r="G18">
        <f t="shared" si="1"/>
        <v>332.48571428571427</v>
      </c>
      <c r="H18">
        <f t="shared" si="1"/>
        <v>345.51428571428573</v>
      </c>
      <c r="I18">
        <f t="shared" si="1"/>
        <v>345.51428571428573</v>
      </c>
    </row>
    <row r="19" spans="1:9" x14ac:dyDescent="0.35">
      <c r="A19">
        <v>17</v>
      </c>
      <c r="B19">
        <v>45</v>
      </c>
      <c r="C19">
        <v>45</v>
      </c>
      <c r="D19">
        <v>736</v>
      </c>
      <c r="E19">
        <v>736</v>
      </c>
      <c r="F19">
        <f t="shared" si="1"/>
        <v>335.48571428571427</v>
      </c>
      <c r="G19">
        <f t="shared" si="1"/>
        <v>335.48571428571427</v>
      </c>
      <c r="H19">
        <f t="shared" si="1"/>
        <v>355.51428571428573</v>
      </c>
      <c r="I19">
        <f t="shared" si="1"/>
        <v>355.51428571428573</v>
      </c>
    </row>
    <row r="20" spans="1:9" x14ac:dyDescent="0.35">
      <c r="D20">
        <v>746</v>
      </c>
      <c r="E20">
        <v>746</v>
      </c>
    </row>
  </sheetData>
  <sortState ref="A2:C19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E20" sqref="E20"/>
    </sheetView>
  </sheetViews>
  <sheetFormatPr defaultRowHeight="14.5" x14ac:dyDescent="0.35"/>
  <cols>
    <col min="1" max="1" width="15" bestFit="1" customWidth="1"/>
    <col min="2" max="2" width="14" bestFit="1" customWidth="1"/>
    <col min="3" max="3" width="14.36328125" bestFit="1" customWidth="1"/>
    <col min="4" max="4" width="13.81640625" bestFit="1" customWidth="1"/>
    <col min="5" max="5" width="14.1796875" bestFit="1" customWidth="1"/>
  </cols>
  <sheetData>
    <row r="1" spans="1:5" x14ac:dyDescent="0.35">
      <c r="A1" t="s">
        <v>0</v>
      </c>
      <c r="B1" t="s">
        <v>10</v>
      </c>
      <c r="C1" t="s">
        <v>13</v>
      </c>
      <c r="D1" t="s">
        <v>11</v>
      </c>
      <c r="E1" t="s">
        <v>12</v>
      </c>
    </row>
    <row r="2" spans="1:5" x14ac:dyDescent="0.35">
      <c r="A2">
        <v>-17</v>
      </c>
      <c r="B2">
        <v>45</v>
      </c>
      <c r="C2">
        <v>45</v>
      </c>
      <c r="D2">
        <f>(B3+B2)/2</f>
        <v>46.5</v>
      </c>
      <c r="E2">
        <f>(C3+C2)/2</f>
        <v>46.5</v>
      </c>
    </row>
    <row r="3" spans="1:5" x14ac:dyDescent="0.35">
      <c r="A3">
        <v>-16</v>
      </c>
      <c r="B3">
        <v>48</v>
      </c>
      <c r="C3">
        <v>48</v>
      </c>
      <c r="D3">
        <f>(B4+B3)/2</f>
        <v>52</v>
      </c>
      <c r="E3">
        <f>(C4+C3)/2</f>
        <v>52</v>
      </c>
    </row>
    <row r="4" spans="1:5" x14ac:dyDescent="0.35">
      <c r="A4">
        <v>-15</v>
      </c>
      <c r="B4">
        <v>56.000000000000007</v>
      </c>
      <c r="C4">
        <v>56.000000000000007</v>
      </c>
      <c r="D4">
        <f>(B5+B4)/2</f>
        <v>59.5</v>
      </c>
      <c r="E4">
        <f>(C5+C4)/2</f>
        <v>59.5</v>
      </c>
    </row>
    <row r="5" spans="1:5" x14ac:dyDescent="0.35">
      <c r="A5">
        <v>-14</v>
      </c>
      <c r="B5">
        <v>63</v>
      </c>
      <c r="C5">
        <v>63</v>
      </c>
      <c r="D5">
        <f>(B6+B5)/2</f>
        <v>64.5</v>
      </c>
      <c r="E5">
        <f>(C6+C5)/2</f>
        <v>64.5</v>
      </c>
    </row>
    <row r="6" spans="1:5" x14ac:dyDescent="0.35">
      <c r="A6">
        <v>-13</v>
      </c>
      <c r="B6">
        <v>66</v>
      </c>
      <c r="C6">
        <v>66</v>
      </c>
      <c r="D6">
        <f>(B7+B6)/2</f>
        <v>71</v>
      </c>
      <c r="E6">
        <f>(C7+C6)/2</f>
        <v>71</v>
      </c>
    </row>
    <row r="7" spans="1:5" x14ac:dyDescent="0.35">
      <c r="A7">
        <v>-12</v>
      </c>
      <c r="B7">
        <v>76</v>
      </c>
      <c r="C7">
        <v>76</v>
      </c>
      <c r="D7">
        <f>(B8+B7)/2</f>
        <v>83.5</v>
      </c>
      <c r="E7">
        <f>(C8+C7)/2</f>
        <v>83.5</v>
      </c>
    </row>
    <row r="8" spans="1:5" x14ac:dyDescent="0.35">
      <c r="A8">
        <v>-11</v>
      </c>
      <c r="B8">
        <v>91</v>
      </c>
      <c r="C8">
        <v>91</v>
      </c>
      <c r="D8">
        <f>(B9+B8)/2</f>
        <v>98</v>
      </c>
      <c r="E8">
        <f>(C9+C8)/2</f>
        <v>98</v>
      </c>
    </row>
    <row r="9" spans="1:5" x14ac:dyDescent="0.35">
      <c r="A9">
        <v>-10</v>
      </c>
      <c r="B9">
        <v>105</v>
      </c>
      <c r="C9">
        <v>105</v>
      </c>
      <c r="D9">
        <f>(B10+B9)/2</f>
        <v>111</v>
      </c>
      <c r="E9">
        <f>(C10+C9)/2</f>
        <v>111</v>
      </c>
    </row>
    <row r="10" spans="1:5" x14ac:dyDescent="0.35">
      <c r="A10">
        <v>-9</v>
      </c>
      <c r="B10">
        <v>117</v>
      </c>
      <c r="C10">
        <v>117</v>
      </c>
      <c r="D10">
        <f>(B11+B10)/2</f>
        <v>125</v>
      </c>
      <c r="E10">
        <f>(C11+C10)/2</f>
        <v>125</v>
      </c>
    </row>
    <row r="11" spans="1:5" x14ac:dyDescent="0.35">
      <c r="A11">
        <v>-8</v>
      </c>
      <c r="B11">
        <v>133</v>
      </c>
      <c r="C11">
        <v>133</v>
      </c>
      <c r="D11">
        <f>(B12+B11)/2</f>
        <v>141</v>
      </c>
      <c r="E11">
        <f>(C12+C11)/2</f>
        <v>141</v>
      </c>
    </row>
    <row r="12" spans="1:5" x14ac:dyDescent="0.35">
      <c r="A12">
        <v>-7</v>
      </c>
      <c r="B12">
        <v>149</v>
      </c>
      <c r="C12">
        <v>149</v>
      </c>
      <c r="D12">
        <f>(B13+B12)/2</f>
        <v>157.5</v>
      </c>
      <c r="E12">
        <f>(C13+C12)/2</f>
        <v>157.5</v>
      </c>
    </row>
    <row r="13" spans="1:5" x14ac:dyDescent="0.35">
      <c r="A13">
        <v>-6</v>
      </c>
      <c r="B13">
        <v>166</v>
      </c>
      <c r="C13">
        <v>166</v>
      </c>
      <c r="D13">
        <v>166</v>
      </c>
      <c r="E13">
        <v>179</v>
      </c>
    </row>
    <row r="14" spans="1:5" x14ac:dyDescent="0.35">
      <c r="A14">
        <v>-5</v>
      </c>
      <c r="B14">
        <v>179</v>
      </c>
      <c r="C14">
        <v>186</v>
      </c>
      <c r="D14">
        <v>186</v>
      </c>
      <c r="E14">
        <v>200</v>
      </c>
    </row>
    <row r="15" spans="1:5" x14ac:dyDescent="0.35">
      <c r="A15">
        <v>-4</v>
      </c>
      <c r="B15">
        <v>200</v>
      </c>
      <c r="C15">
        <v>208</v>
      </c>
      <c r="D15">
        <v>208</v>
      </c>
      <c r="E15">
        <v>221</v>
      </c>
    </row>
    <row r="16" spans="1:5" x14ac:dyDescent="0.35">
      <c r="A16">
        <v>-3</v>
      </c>
      <c r="B16">
        <v>221</v>
      </c>
      <c r="C16">
        <v>234</v>
      </c>
      <c r="D16">
        <v>234</v>
      </c>
      <c r="E16">
        <v>247.00000000000003</v>
      </c>
    </row>
    <row r="17" spans="1:5" x14ac:dyDescent="0.35">
      <c r="A17">
        <v>-2</v>
      </c>
      <c r="B17">
        <v>247.00000000000003</v>
      </c>
      <c r="C17">
        <v>260</v>
      </c>
      <c r="D17">
        <v>260</v>
      </c>
      <c r="E17">
        <v>281</v>
      </c>
    </row>
    <row r="18" spans="1:5" x14ac:dyDescent="0.35">
      <c r="A18">
        <v>-1</v>
      </c>
      <c r="B18">
        <v>281</v>
      </c>
      <c r="C18">
        <v>299</v>
      </c>
      <c r="D18">
        <v>299</v>
      </c>
      <c r="E18">
        <v>330</v>
      </c>
    </row>
    <row r="19" spans="1:5" x14ac:dyDescent="0.35">
      <c r="A19">
        <v>0</v>
      </c>
      <c r="B19">
        <v>330</v>
      </c>
    </row>
    <row r="20" spans="1:5" x14ac:dyDescent="0.35">
      <c r="A20">
        <v>0</v>
      </c>
      <c r="B20">
        <v>419</v>
      </c>
    </row>
    <row r="21" spans="1:5" x14ac:dyDescent="0.35">
      <c r="A21">
        <v>1</v>
      </c>
      <c r="B21">
        <v>458</v>
      </c>
      <c r="C21">
        <v>471</v>
      </c>
      <c r="D21">
        <v>419</v>
      </c>
      <c r="E21">
        <v>458</v>
      </c>
    </row>
    <row r="22" spans="1:5" x14ac:dyDescent="0.35">
      <c r="A22">
        <v>2</v>
      </c>
      <c r="B22">
        <v>500</v>
      </c>
      <c r="C22">
        <v>507</v>
      </c>
      <c r="D22">
        <v>471</v>
      </c>
      <c r="E22">
        <v>500</v>
      </c>
    </row>
    <row r="23" spans="1:5" x14ac:dyDescent="0.35">
      <c r="A23">
        <v>3</v>
      </c>
      <c r="B23">
        <v>525</v>
      </c>
      <c r="C23">
        <v>533</v>
      </c>
      <c r="D23">
        <v>507</v>
      </c>
      <c r="E23">
        <v>525</v>
      </c>
    </row>
    <row r="24" spans="1:5" x14ac:dyDescent="0.35">
      <c r="A24">
        <v>4</v>
      </c>
      <c r="B24">
        <v>552</v>
      </c>
      <c r="C24">
        <v>558</v>
      </c>
      <c r="D24">
        <v>533</v>
      </c>
      <c r="E24">
        <v>552</v>
      </c>
    </row>
    <row r="25" spans="1:5" x14ac:dyDescent="0.35">
      <c r="A25">
        <v>5</v>
      </c>
      <c r="B25">
        <v>570</v>
      </c>
      <c r="C25">
        <v>576</v>
      </c>
      <c r="D25">
        <v>558</v>
      </c>
      <c r="E25">
        <v>570</v>
      </c>
    </row>
    <row r="26" spans="1:5" x14ac:dyDescent="0.35">
      <c r="A26">
        <v>6</v>
      </c>
      <c r="B26">
        <v>589</v>
      </c>
      <c r="C26">
        <v>596</v>
      </c>
      <c r="D26">
        <v>576</v>
      </c>
      <c r="E26">
        <v>589</v>
      </c>
    </row>
    <row r="27" spans="1:5" x14ac:dyDescent="0.35">
      <c r="A27">
        <v>7</v>
      </c>
      <c r="B27">
        <v>607</v>
      </c>
      <c r="C27">
        <v>614</v>
      </c>
      <c r="D27">
        <v>596</v>
      </c>
      <c r="E27">
        <v>607</v>
      </c>
    </row>
    <row r="28" spans="1:5" x14ac:dyDescent="0.35">
      <c r="A28">
        <v>8</v>
      </c>
      <c r="B28">
        <v>624</v>
      </c>
      <c r="C28">
        <v>629</v>
      </c>
      <c r="D28">
        <v>614</v>
      </c>
      <c r="E28">
        <v>624</v>
      </c>
    </row>
    <row r="29" spans="1:5" x14ac:dyDescent="0.35">
      <c r="A29">
        <v>9</v>
      </c>
      <c r="B29">
        <v>640</v>
      </c>
      <c r="C29">
        <v>641</v>
      </c>
      <c r="D29">
        <v>629</v>
      </c>
      <c r="E29">
        <v>640</v>
      </c>
    </row>
    <row r="30" spans="1:5" x14ac:dyDescent="0.35">
      <c r="A30">
        <v>10</v>
      </c>
      <c r="B30">
        <v>653</v>
      </c>
      <c r="C30">
        <v>653</v>
      </c>
      <c r="D30">
        <v>641</v>
      </c>
      <c r="E30">
        <v>653</v>
      </c>
    </row>
    <row r="31" spans="1:5" x14ac:dyDescent="0.35">
      <c r="A31">
        <v>11</v>
      </c>
      <c r="B31">
        <v>668</v>
      </c>
      <c r="C31">
        <v>668</v>
      </c>
      <c r="D31">
        <f>(B30+B31)/2</f>
        <v>660.5</v>
      </c>
      <c r="E31">
        <f>(C30+C31)/2</f>
        <v>660.5</v>
      </c>
    </row>
    <row r="32" spans="1:5" x14ac:dyDescent="0.35">
      <c r="A32">
        <v>12</v>
      </c>
      <c r="B32">
        <v>680</v>
      </c>
      <c r="C32">
        <v>680</v>
      </c>
      <c r="D32">
        <f>(B31+B32)/2</f>
        <v>674</v>
      </c>
      <c r="E32">
        <f>(C31+C32)/2</f>
        <v>674</v>
      </c>
    </row>
    <row r="33" spans="1:5" x14ac:dyDescent="0.35">
      <c r="A33">
        <v>13</v>
      </c>
      <c r="B33">
        <v>693</v>
      </c>
      <c r="C33">
        <v>693</v>
      </c>
      <c r="D33">
        <f>(B32+B33)/2</f>
        <v>686.5</v>
      </c>
      <c r="E33">
        <f>(C32+C33)/2</f>
        <v>686.5</v>
      </c>
    </row>
    <row r="34" spans="1:5" x14ac:dyDescent="0.35">
      <c r="A34">
        <v>14</v>
      </c>
      <c r="B34">
        <v>705</v>
      </c>
      <c r="C34">
        <v>705</v>
      </c>
      <c r="D34">
        <f>(B33+B34)/2</f>
        <v>699</v>
      </c>
      <c r="E34">
        <f>(C33+C34)/2</f>
        <v>699</v>
      </c>
    </row>
    <row r="35" spans="1:5" x14ac:dyDescent="0.35">
      <c r="A35">
        <v>15</v>
      </c>
      <c r="B35">
        <v>714</v>
      </c>
      <c r="C35">
        <v>714</v>
      </c>
      <c r="D35">
        <f>(B34+B35)/2</f>
        <v>709.5</v>
      </c>
      <c r="E35">
        <f>(C34+C35)/2</f>
        <v>709.5</v>
      </c>
    </row>
    <row r="36" spans="1:5" x14ac:dyDescent="0.35">
      <c r="A36">
        <v>16</v>
      </c>
      <c r="B36">
        <v>726</v>
      </c>
      <c r="C36">
        <v>726</v>
      </c>
      <c r="D36">
        <f>(B35+B36)/2</f>
        <v>720</v>
      </c>
      <c r="E36">
        <f>(C35+C36)/2</f>
        <v>720</v>
      </c>
    </row>
    <row r="37" spans="1:5" x14ac:dyDescent="0.35">
      <c r="A37">
        <v>17</v>
      </c>
      <c r="B37">
        <v>736</v>
      </c>
      <c r="C37">
        <v>736</v>
      </c>
      <c r="D37">
        <f>(B36+B37)/2</f>
        <v>731</v>
      </c>
      <c r="E37">
        <f>(C36+C37)/2</f>
        <v>731</v>
      </c>
    </row>
    <row r="38" spans="1:5" x14ac:dyDescent="0.35">
      <c r="A38">
        <v>18</v>
      </c>
      <c r="B38">
        <v>746</v>
      </c>
      <c r="C38">
        <v>746</v>
      </c>
      <c r="D38">
        <f>(B37+B38)/2</f>
        <v>741</v>
      </c>
      <c r="E38">
        <f>(C37+C38)/2</f>
        <v>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"/>
  <sheetViews>
    <sheetView workbookViewId="0">
      <selection activeCell="C3" sqref="C3"/>
    </sheetView>
  </sheetViews>
  <sheetFormatPr defaultRowHeight="14.5" x14ac:dyDescent="0.35"/>
  <cols>
    <col min="3" max="3" width="17.26953125" bestFit="1" customWidth="1"/>
  </cols>
  <sheetData>
    <row r="1" spans="3:3" x14ac:dyDescent="0.35">
      <c r="C1" t="s">
        <v>2</v>
      </c>
    </row>
    <row r="2" spans="3:3" x14ac:dyDescent="0.35">
      <c r="C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" sqref="D1"/>
    </sheetView>
  </sheetViews>
  <sheetFormatPr defaultRowHeight="14.5" x14ac:dyDescent="0.35"/>
  <sheetData>
    <row r="1" spans="1:3" x14ac:dyDescent="0.35">
      <c r="A1" t="s">
        <v>4</v>
      </c>
      <c r="B1" t="s">
        <v>8</v>
      </c>
      <c r="C1">
        <f>1101 - 78</f>
        <v>1023</v>
      </c>
    </row>
    <row r="2" spans="1:3" x14ac:dyDescent="0.35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желтый</vt:lpstr>
      <vt:lpstr>люфт</vt:lpstr>
      <vt:lpstr>желтый_темные_светлые</vt:lpstr>
      <vt:lpstr>биения</vt:lpstr>
      <vt:lpstr>калибровка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2025-03-06T11:34:35Z</dcterms:created>
  <dcterms:modified xsi:type="dcterms:W3CDTF">2025-03-14T07:09:36Z</dcterms:modified>
</cp:coreProperties>
</file>