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бакалавриат\4 semester (try 2)\лабы\4.3.1 дифракция света\"/>
    </mc:Choice>
  </mc:AlternateContent>
  <bookViews>
    <workbookView xWindow="0" yWindow="0" windowWidth="15850" windowHeight="7260" activeTab="1"/>
  </bookViews>
  <sheets>
    <sheet name="калибровка" sheetId="1" r:id="rId1"/>
    <sheet name="1 френель на щели" sheetId="2" r:id="rId2"/>
    <sheet name="2 фраунгофер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G3" i="2"/>
  <c r="F4" i="2"/>
  <c r="G4" i="2"/>
  <c r="F5" i="2"/>
  <c r="G5" i="2"/>
  <c r="F6" i="2"/>
  <c r="G6" i="2"/>
  <c r="F7" i="2"/>
  <c r="G7" i="2"/>
  <c r="F8" i="2"/>
  <c r="G8" i="2"/>
  <c r="F9" i="2"/>
  <c r="G9" i="2"/>
  <c r="G2" i="2"/>
  <c r="F2" i="2"/>
  <c r="H3" i="2" l="1"/>
  <c r="I3" i="2"/>
  <c r="H4" i="2"/>
  <c r="I4" i="2"/>
  <c r="H5" i="2"/>
  <c r="H6" i="2"/>
  <c r="I6" i="2"/>
  <c r="H7" i="2"/>
  <c r="I7" i="2"/>
  <c r="H8" i="2"/>
  <c r="I8" i="2"/>
  <c r="H9" i="2"/>
  <c r="I9" i="2"/>
  <c r="I2" i="2"/>
  <c r="H2" i="2"/>
  <c r="I5" i="2"/>
</calcChain>
</file>

<file path=xl/sharedStrings.xml><?xml version="1.0" encoding="utf-8"?>
<sst xmlns="http://schemas.openxmlformats.org/spreadsheetml/2006/main" count="17" uniqueCount="15">
  <si>
    <t>шкала</t>
  </si>
  <si>
    <t>ширина на фото микроскопа, пикселей</t>
  </si>
  <si>
    <t>погрешность</t>
  </si>
  <si>
    <t>фокус линзы</t>
  </si>
  <si>
    <t>175 мм</t>
  </si>
  <si>
    <t>ширина щели в пикселях</t>
  </si>
  <si>
    <t>911  пикселей</t>
  </si>
  <si>
    <t>1 мм</t>
  </si>
  <si>
    <t>винт, мм</t>
  </si>
  <si>
    <t>линейка, см</t>
  </si>
  <si>
    <t>n</t>
  </si>
  <si>
    <t>x_min, mm</t>
  </si>
  <si>
    <t>x_max, mm</t>
  </si>
  <si>
    <t>x_min abs</t>
  </si>
  <si>
    <t>x_max 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</si>
</sst>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H11" sqref="H11"/>
    </sheetView>
  </sheetViews>
  <sheetFormatPr defaultRowHeight="14.5" x14ac:dyDescent="0.35"/>
  <cols>
    <col min="1" max="1" width="16.36328125" customWidth="1"/>
  </cols>
  <sheetData>
    <row r="1" spans="1:2" x14ac:dyDescent="0.35">
      <c r="A1" t="s">
        <v>0</v>
      </c>
    </row>
    <row r="2" spans="1:2" x14ac:dyDescent="0.35">
      <c r="A2" t="s">
        <v>6</v>
      </c>
      <c r="B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topLeftCell="B1" workbookViewId="0">
      <selection activeCell="G15" sqref="G15"/>
    </sheetView>
  </sheetViews>
  <sheetFormatPr defaultRowHeight="14.5" x14ac:dyDescent="0.35"/>
  <cols>
    <col min="1" max="1" width="1.90625" bestFit="1" customWidth="1"/>
    <col min="2" max="3" width="11.08984375" bestFit="1" customWidth="1"/>
    <col min="4" max="5" width="8.453125" bestFit="1" customWidth="1"/>
    <col min="6" max="6" width="10.08984375" bestFit="1" customWidth="1"/>
    <col min="7" max="7" width="10.453125" bestFit="1" customWidth="1"/>
    <col min="8" max="8" width="15" bestFit="1" customWidth="1"/>
    <col min="9" max="9" width="19" bestFit="1" customWidth="1"/>
  </cols>
  <sheetData>
    <row r="1" spans="1:12" x14ac:dyDescent="0.35">
      <c r="A1" t="s">
        <v>10</v>
      </c>
      <c r="B1" t="s">
        <v>9</v>
      </c>
      <c r="C1" t="s">
        <v>9</v>
      </c>
      <c r="D1" t="s">
        <v>8</v>
      </c>
      <c r="E1" t="s">
        <v>8</v>
      </c>
      <c r="F1" t="s">
        <v>13</v>
      </c>
      <c r="G1" t="s">
        <v>14</v>
      </c>
      <c r="H1" t="s">
        <v>11</v>
      </c>
      <c r="I1" t="s">
        <v>12</v>
      </c>
      <c r="L1" t="s">
        <v>1</v>
      </c>
    </row>
    <row r="2" spans="1:12" x14ac:dyDescent="0.35">
      <c r="A2">
        <v>0</v>
      </c>
      <c r="B2">
        <v>54.9</v>
      </c>
      <c r="C2">
        <v>54.9</v>
      </c>
      <c r="D2">
        <v>10.89</v>
      </c>
      <c r="E2">
        <v>10.89</v>
      </c>
      <c r="F2">
        <f>B2*10 +D2</f>
        <v>559.89</v>
      </c>
      <c r="G2">
        <f>C2*10 +E2</f>
        <v>559.89</v>
      </c>
      <c r="H2">
        <f>F2-$F$2</f>
        <v>0</v>
      </c>
      <c r="I2">
        <f>G2-$F$2</f>
        <v>0</v>
      </c>
      <c r="L2">
        <v>210</v>
      </c>
    </row>
    <row r="3" spans="1:12" x14ac:dyDescent="0.35">
      <c r="A3">
        <v>1</v>
      </c>
      <c r="B3">
        <v>59.9</v>
      </c>
      <c r="C3">
        <v>61.4</v>
      </c>
      <c r="D3">
        <v>10.89</v>
      </c>
      <c r="E3">
        <v>10.89</v>
      </c>
      <c r="F3">
        <f t="shared" ref="F3:F9" si="0">B3*10 +D3</f>
        <v>609.89</v>
      </c>
      <c r="G3">
        <f t="shared" ref="G3:G9" si="1">C3*10 +E3</f>
        <v>624.89</v>
      </c>
      <c r="H3">
        <f t="shared" ref="H3:H9" si="2">F3-$F$2</f>
        <v>50</v>
      </c>
      <c r="I3">
        <f t="shared" ref="I3:I9" si="3">G3-$F$2</f>
        <v>65</v>
      </c>
      <c r="L3" t="s">
        <v>2</v>
      </c>
    </row>
    <row r="4" spans="1:12" x14ac:dyDescent="0.35">
      <c r="A4">
        <v>2</v>
      </c>
      <c r="B4">
        <v>57.9</v>
      </c>
      <c r="C4">
        <v>59</v>
      </c>
      <c r="D4">
        <v>10.89</v>
      </c>
      <c r="E4">
        <v>10.89</v>
      </c>
      <c r="F4">
        <f t="shared" si="0"/>
        <v>589.89</v>
      </c>
      <c r="G4">
        <f t="shared" si="1"/>
        <v>600.89</v>
      </c>
      <c r="H4">
        <f t="shared" si="2"/>
        <v>30</v>
      </c>
      <c r="I4">
        <f t="shared" si="3"/>
        <v>41</v>
      </c>
      <c r="L4">
        <v>1</v>
      </c>
    </row>
    <row r="5" spans="1:12" x14ac:dyDescent="0.35">
      <c r="A5">
        <v>3</v>
      </c>
      <c r="B5">
        <v>57.2</v>
      </c>
      <c r="C5">
        <v>57.7</v>
      </c>
      <c r="D5">
        <v>10.89</v>
      </c>
      <c r="E5">
        <v>10.89</v>
      </c>
      <c r="F5">
        <f t="shared" si="0"/>
        <v>582.89</v>
      </c>
      <c r="G5">
        <f t="shared" si="1"/>
        <v>587.89</v>
      </c>
      <c r="H5">
        <f t="shared" si="2"/>
        <v>23</v>
      </c>
      <c r="I5">
        <f t="shared" si="3"/>
        <v>28</v>
      </c>
    </row>
    <row r="6" spans="1:12" x14ac:dyDescent="0.35">
      <c r="A6">
        <v>4</v>
      </c>
      <c r="B6">
        <v>56.9</v>
      </c>
      <c r="C6">
        <v>57.2</v>
      </c>
      <c r="D6">
        <v>10.89</v>
      </c>
      <c r="E6">
        <v>10.89</v>
      </c>
      <c r="F6">
        <f t="shared" si="0"/>
        <v>579.89</v>
      </c>
      <c r="G6">
        <f t="shared" si="1"/>
        <v>582.89</v>
      </c>
      <c r="H6">
        <f t="shared" si="2"/>
        <v>20</v>
      </c>
      <c r="I6">
        <f t="shared" si="3"/>
        <v>23</v>
      </c>
    </row>
    <row r="7" spans="1:12" x14ac:dyDescent="0.35">
      <c r="A7">
        <v>5</v>
      </c>
      <c r="B7">
        <v>56.5</v>
      </c>
      <c r="C7">
        <v>56.5</v>
      </c>
      <c r="D7">
        <v>10.89</v>
      </c>
      <c r="E7">
        <v>10.89</v>
      </c>
      <c r="F7">
        <f t="shared" si="0"/>
        <v>575.89</v>
      </c>
      <c r="G7">
        <f t="shared" si="1"/>
        <v>575.89</v>
      </c>
      <c r="H7">
        <f t="shared" si="2"/>
        <v>16</v>
      </c>
      <c r="I7">
        <f t="shared" si="3"/>
        <v>16</v>
      </c>
    </row>
    <row r="8" spans="1:12" x14ac:dyDescent="0.35">
      <c r="A8">
        <v>6</v>
      </c>
      <c r="B8">
        <v>56.5</v>
      </c>
      <c r="C8">
        <v>56.5</v>
      </c>
      <c r="D8">
        <v>8.1999999999999993</v>
      </c>
      <c r="E8">
        <v>10.1</v>
      </c>
      <c r="F8">
        <f t="shared" si="0"/>
        <v>573.20000000000005</v>
      </c>
      <c r="G8">
        <f t="shared" si="1"/>
        <v>575.1</v>
      </c>
      <c r="H8">
        <f t="shared" si="2"/>
        <v>13.310000000000059</v>
      </c>
      <c r="I8">
        <f t="shared" si="3"/>
        <v>15.210000000000036</v>
      </c>
    </row>
    <row r="9" spans="1:12" x14ac:dyDescent="0.35">
      <c r="A9">
        <v>7</v>
      </c>
      <c r="B9">
        <v>56.5</v>
      </c>
      <c r="C9">
        <v>56.5</v>
      </c>
      <c r="D9">
        <v>6.34</v>
      </c>
      <c r="E9">
        <v>7.18</v>
      </c>
      <c r="F9">
        <f t="shared" si="0"/>
        <v>571.34</v>
      </c>
      <c r="G9">
        <f t="shared" si="1"/>
        <v>572.17999999999995</v>
      </c>
      <c r="H9">
        <f t="shared" si="2"/>
        <v>11.450000000000045</v>
      </c>
      <c r="I9">
        <f t="shared" si="3"/>
        <v>12.289999999999964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H10" sqref="H10"/>
    </sheetView>
  </sheetViews>
  <sheetFormatPr defaultRowHeight="14.5" x14ac:dyDescent="0.35"/>
  <sheetData>
    <row r="1" spans="1:4" x14ac:dyDescent="0.35">
      <c r="A1" t="s">
        <v>3</v>
      </c>
      <c r="D1" t="s">
        <v>5</v>
      </c>
    </row>
    <row r="2" spans="1:4" x14ac:dyDescent="0.35">
      <c r="A2" t="s">
        <v>4</v>
      </c>
      <c r="D2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калибровка</vt:lpstr>
      <vt:lpstr>1 френель на щели</vt:lpstr>
      <vt:lpstr>2 фраунгофер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2026-04-03T12:20:26Z</dcterms:created>
  <dcterms:modified xsi:type="dcterms:W3CDTF">2026-04-16T17:56:39Z</dcterms:modified>
</cp:coreProperties>
</file>