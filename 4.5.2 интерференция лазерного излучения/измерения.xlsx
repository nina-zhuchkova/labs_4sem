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бакалавриат\4 semester (try 2)\лабы\4.5.2 интерференция лазерного излучения\"/>
    </mc:Choice>
  </mc:AlternateContent>
  <bookViews>
    <workbookView xWindow="0" yWindow="0" windowWidth="15850" windowHeight="7260" activeTab="1"/>
  </bookViews>
  <sheets>
    <sheet name="поляризация" sheetId="1" r:id="rId1"/>
    <sheet name="длина когерентности" sheetId="2" r:id="rId2"/>
    <sheet name="длина волны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1" l="1"/>
  <c r="L19" i="1"/>
  <c r="K2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" i="1"/>
  <c r="F3" i="2" l="1"/>
  <c r="G3" i="2"/>
  <c r="I3" i="2" s="1"/>
  <c r="H3" i="2"/>
  <c r="F4" i="2"/>
  <c r="H4" i="2" s="1"/>
  <c r="G4" i="2"/>
  <c r="F5" i="2"/>
  <c r="G5" i="2"/>
  <c r="H5" i="2"/>
  <c r="F6" i="2"/>
  <c r="H6" i="2" s="1"/>
  <c r="G6" i="2"/>
  <c r="F7" i="2"/>
  <c r="G7" i="2"/>
  <c r="H7" i="2"/>
  <c r="F8" i="2"/>
  <c r="H8" i="2" s="1"/>
  <c r="G8" i="2"/>
  <c r="F9" i="2"/>
  <c r="H9" i="2" s="1"/>
  <c r="G9" i="2"/>
  <c r="F10" i="2"/>
  <c r="H10" i="2" s="1"/>
  <c r="G10" i="2"/>
  <c r="F11" i="2"/>
  <c r="G11" i="2"/>
  <c r="H11" i="2"/>
  <c r="F12" i="2"/>
  <c r="H12" i="2" s="1"/>
  <c r="G12" i="2"/>
  <c r="F13" i="2"/>
  <c r="H13" i="2" s="1"/>
  <c r="G13" i="2"/>
  <c r="F14" i="2"/>
  <c r="H14" i="2" s="1"/>
  <c r="G14" i="2"/>
  <c r="F15" i="2"/>
  <c r="H15" i="2" s="1"/>
  <c r="G15" i="2"/>
  <c r="F16" i="2"/>
  <c r="H16" i="2" s="1"/>
  <c r="G16" i="2"/>
  <c r="F17" i="2"/>
  <c r="H17" i="2" s="1"/>
  <c r="G17" i="2"/>
  <c r="F18" i="2"/>
  <c r="H18" i="2" s="1"/>
  <c r="G18" i="2"/>
  <c r="F19" i="2"/>
  <c r="G19" i="2"/>
  <c r="H19" i="2"/>
  <c r="F20" i="2"/>
  <c r="H20" i="2" s="1"/>
  <c r="G20" i="2"/>
  <c r="F21" i="2"/>
  <c r="H21" i="2" s="1"/>
  <c r="G21" i="2"/>
  <c r="F22" i="2"/>
  <c r="H22" i="2" s="1"/>
  <c r="G22" i="2"/>
  <c r="F23" i="2"/>
  <c r="H23" i="2" s="1"/>
  <c r="G23" i="2"/>
  <c r="F24" i="2"/>
  <c r="H24" i="2" s="1"/>
  <c r="G24" i="2"/>
  <c r="F25" i="2"/>
  <c r="H25" i="2" s="1"/>
  <c r="G25" i="2"/>
  <c r="F26" i="2"/>
  <c r="H26" i="2" s="1"/>
  <c r="G26" i="2"/>
  <c r="G2" i="2"/>
  <c r="I2" i="2" s="1"/>
  <c r="F2" i="2"/>
  <c r="H2" i="2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  <c r="F19" i="1"/>
  <c r="H19" i="1" s="1"/>
  <c r="G19" i="1"/>
  <c r="F20" i="1"/>
  <c r="H20" i="1" s="1"/>
  <c r="G20" i="1"/>
  <c r="F21" i="1"/>
  <c r="H21" i="1" s="1"/>
  <c r="G21" i="1"/>
  <c r="F22" i="1"/>
  <c r="H22" i="1" s="1"/>
  <c r="G22" i="1"/>
  <c r="F23" i="1"/>
  <c r="H23" i="1" s="1"/>
  <c r="G23" i="1"/>
  <c r="F24" i="1"/>
  <c r="H24" i="1" s="1"/>
  <c r="G24" i="1"/>
  <c r="F25" i="1"/>
  <c r="H25" i="1" s="1"/>
  <c r="G25" i="1"/>
  <c r="J7" i="1"/>
  <c r="F7" i="1"/>
  <c r="H7" i="1" s="1"/>
  <c r="G7" i="1"/>
  <c r="F8" i="1"/>
  <c r="H8" i="1" s="1"/>
  <c r="G8" i="1"/>
  <c r="F9" i="1"/>
  <c r="H9" i="1" s="1"/>
  <c r="G9" i="1"/>
  <c r="F10" i="1"/>
  <c r="H10" i="1" s="1"/>
  <c r="G10" i="1"/>
  <c r="F11" i="1"/>
  <c r="H11" i="1" s="1"/>
  <c r="G11" i="1"/>
  <c r="F12" i="1"/>
  <c r="H12" i="1" s="1"/>
  <c r="G12" i="1"/>
  <c r="F13" i="1"/>
  <c r="H13" i="1" s="1"/>
  <c r="G13" i="1"/>
  <c r="F14" i="1"/>
  <c r="H14" i="1" s="1"/>
  <c r="G14" i="1"/>
  <c r="F15" i="1"/>
  <c r="H15" i="1" s="1"/>
  <c r="G15" i="1"/>
  <c r="F16" i="1"/>
  <c r="H16" i="1" s="1"/>
  <c r="G16" i="1"/>
  <c r="F17" i="1"/>
  <c r="H17" i="1" s="1"/>
  <c r="G17" i="1"/>
  <c r="F18" i="1"/>
  <c r="H18" i="1" s="1"/>
  <c r="G18" i="1"/>
  <c r="F3" i="1"/>
  <c r="H3" i="1" s="1"/>
  <c r="G3" i="1"/>
  <c r="F4" i="1"/>
  <c r="H4" i="1" s="1"/>
  <c r="G4" i="1"/>
  <c r="F5" i="1"/>
  <c r="H5" i="1" s="1"/>
  <c r="G5" i="1"/>
  <c r="F6" i="1"/>
  <c r="H6" i="1" s="1"/>
  <c r="G6" i="1"/>
  <c r="G2" i="1"/>
  <c r="F2" i="1"/>
  <c r="H2" i="1" s="1"/>
  <c r="I26" i="2" l="1"/>
  <c r="I25" i="2"/>
  <c r="I24" i="2"/>
  <c r="I23" i="2"/>
  <c r="I22" i="2"/>
  <c r="I21" i="2"/>
  <c r="I20" i="2"/>
  <c r="I19" i="2"/>
  <c r="I17" i="2"/>
  <c r="I16" i="2"/>
  <c r="I15" i="2"/>
  <c r="I13" i="2"/>
  <c r="I11" i="2"/>
  <c r="I10" i="2"/>
  <c r="I9" i="2"/>
  <c r="I8" i="2"/>
  <c r="I7" i="2"/>
  <c r="I5" i="2"/>
  <c r="I4" i="2"/>
  <c r="I18" i="2"/>
  <c r="I14" i="2"/>
  <c r="I6" i="2"/>
  <c r="I12" i="2"/>
  <c r="I22" i="1"/>
  <c r="I25" i="1"/>
  <c r="I21" i="1"/>
  <c r="I24" i="1"/>
  <c r="I23" i="1"/>
  <c r="I19" i="1"/>
  <c r="I20" i="1"/>
  <c r="I3" i="1"/>
  <c r="I16" i="1"/>
  <c r="I18" i="1"/>
  <c r="I15" i="1"/>
  <c r="I14" i="1"/>
  <c r="I13" i="1"/>
  <c r="I12" i="1"/>
  <c r="I11" i="1"/>
  <c r="I10" i="1"/>
  <c r="I9" i="1"/>
  <c r="I8" i="1"/>
  <c r="I7" i="1"/>
  <c r="I17" i="1"/>
  <c r="I6" i="1"/>
  <c r="I5" i="1"/>
  <c r="I4" i="1"/>
  <c r="I2" i="1"/>
</calcChain>
</file>

<file path=xl/sharedStrings.xml><?xml version="1.0" encoding="utf-8"?>
<sst xmlns="http://schemas.openxmlformats.org/spreadsheetml/2006/main" count="19" uniqueCount="12">
  <si>
    <t>h1</t>
  </si>
  <si>
    <t>h2</t>
  </si>
  <si>
    <t>h3</t>
  </si>
  <si>
    <t>h4</t>
  </si>
  <si>
    <t>delta</t>
  </si>
  <si>
    <t>V</t>
  </si>
  <si>
    <t>V1</t>
  </si>
  <si>
    <t>V2</t>
  </si>
  <si>
    <t>beta, градусов</t>
  </si>
  <si>
    <t>коэффициент</t>
  </si>
  <si>
    <t>x, cm</t>
  </si>
  <si>
    <t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</si>
</sst>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поляризация!$K$2:$K$19</c:f>
              <c:numCache>
                <c:formatCode>General</c:formatCode>
                <c:ptCount val="18"/>
                <c:pt idx="0">
                  <c:v>1</c:v>
                </c:pt>
                <c:pt idx="1">
                  <c:v>2.1461719238496826E-9</c:v>
                </c:pt>
                <c:pt idx="2">
                  <c:v>7.6037230224515317E-3</c:v>
                </c:pt>
                <c:pt idx="3">
                  <c:v>3.0167775375643073E-2</c:v>
                </c:pt>
                <c:pt idx="4">
                  <c:v>6.7006602229690196E-2</c:v>
                </c:pt>
                <c:pt idx="5">
                  <c:v>0.11700094032707994</c:v>
                </c:pt>
                <c:pt idx="6">
                  <c:v>0.17863182637569197</c:v>
                </c:pt>
                <c:pt idx="7">
                  <c:v>0.25002674726441443</c:v>
                </c:pt>
                <c:pt idx="8">
                  <c:v>0.32901653207908127</c:v>
                </c:pt>
                <c:pt idx="9">
                  <c:v>0.41320125738531804</c:v>
                </c:pt>
                <c:pt idx="10">
                  <c:v>0.50002316339744002</c:v>
                </c:pt>
                <c:pt idx="11">
                  <c:v>0.58684436564286002</c:v>
                </c:pt>
                <c:pt idx="12">
                  <c:v>0.6710270010313284</c:v>
                </c:pt>
                <c:pt idx="13">
                  <c:v>0.75001337327451822</c:v>
                </c:pt>
                <c:pt idx="14">
                  <c:v>0.82140366262121145</c:v>
                </c:pt>
                <c:pt idx="15">
                  <c:v>0.8830288388760239</c:v>
                </c:pt>
                <c:pt idx="16">
                  <c:v>0.96984807088994851</c:v>
                </c:pt>
                <c:pt idx="17">
                  <c:v>3.0136086877959174E-2</c:v>
                </c:pt>
              </c:numCache>
            </c:numRef>
          </c:xVal>
          <c:yVal>
            <c:numRef>
              <c:f>поляризация!$I$2:$I$20</c:f>
              <c:numCache>
                <c:formatCode>General</c:formatCode>
                <c:ptCount val="19"/>
                <c:pt idx="0">
                  <c:v>0.84119102419205982</c:v>
                </c:pt>
                <c:pt idx="1">
                  <c:v>5.0507627227610548E-2</c:v>
                </c:pt>
                <c:pt idx="2">
                  <c:v>8.5777754279601548E-2</c:v>
                </c:pt>
                <c:pt idx="3">
                  <c:v>0.18200549450549455</c:v>
                </c:pt>
                <c:pt idx="4">
                  <c:v>0.32991443953692906</c:v>
                </c:pt>
                <c:pt idx="5">
                  <c:v>0.37500000000000006</c:v>
                </c:pt>
                <c:pt idx="6">
                  <c:v>0.39516790469763929</c:v>
                </c:pt>
                <c:pt idx="7">
                  <c:v>0.48014537720098571</c:v>
                </c:pt>
                <c:pt idx="8">
                  <c:v>0.65860697374223975</c:v>
                </c:pt>
                <c:pt idx="9">
                  <c:v>0.71004694680469305</c:v>
                </c:pt>
                <c:pt idx="10">
                  <c:v>0.80943644042863794</c:v>
                </c:pt>
                <c:pt idx="11">
                  <c:v>0.82480200891454247</c:v>
                </c:pt>
                <c:pt idx="12">
                  <c:v>0.83333333333333326</c:v>
                </c:pt>
                <c:pt idx="13">
                  <c:v>0.82915801515453269</c:v>
                </c:pt>
                <c:pt idx="14">
                  <c:v>0.90750110018012831</c:v>
                </c:pt>
                <c:pt idx="15">
                  <c:v>0.88262807545704525</c:v>
                </c:pt>
                <c:pt idx="16">
                  <c:v>0.87778772836950714</c:v>
                </c:pt>
                <c:pt idx="17">
                  <c:v>0.21023959382255281</c:v>
                </c:pt>
                <c:pt idx="18">
                  <c:v>0.15152288168283162</c:v>
                </c:pt>
              </c:numCache>
            </c:numRef>
          </c:yVal>
          <c:smooth val="0"/>
        </c:ser>
        <c:ser>
          <c:idx val="1"/>
          <c:order val="1"/>
          <c:tx>
            <c:v>cos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поляризация!$L$2:$L$19</c:f>
              <c:numCache>
                <c:formatCode>General</c:formatCode>
                <c:ptCount val="18"/>
                <c:pt idx="0">
                  <c:v>1</c:v>
                </c:pt>
                <c:pt idx="1">
                  <c:v>4.6326794879957784E-5</c:v>
                </c:pt>
                <c:pt idx="2">
                  <c:v>8.7199329254596517E-2</c:v>
                </c:pt>
                <c:pt idx="3">
                  <c:v>0.17368873128572007</c:v>
                </c:pt>
                <c:pt idx="4">
                  <c:v>0.25885633511600636</c:v>
                </c:pt>
                <c:pt idx="5">
                  <c:v>0.34205400206265668</c:v>
                </c:pt>
                <c:pt idx="6">
                  <c:v>0.42264858496828306</c:v>
                </c:pt>
                <c:pt idx="7">
                  <c:v>0.50002674654903656</c:v>
                </c:pt>
                <c:pt idx="8">
                  <c:v>0.57359962698652556</c:v>
                </c:pt>
                <c:pt idx="9">
                  <c:v>0.6428073252424229</c:v>
                </c:pt>
                <c:pt idx="10">
                  <c:v>0.7071231599922605</c:v>
                </c:pt>
                <c:pt idx="11">
                  <c:v>0.76605767775204758</c:v>
                </c:pt>
                <c:pt idx="12">
                  <c:v>0.81916237769524569</c:v>
                </c:pt>
                <c:pt idx="13">
                  <c:v>0.86603312481366335</c:v>
                </c:pt>
                <c:pt idx="14">
                  <c:v>0.90631322544758852</c:v>
                </c:pt>
                <c:pt idx="15">
                  <c:v>0.9396961417798968</c:v>
                </c:pt>
                <c:pt idx="16">
                  <c:v>0.98480864683955149</c:v>
                </c:pt>
                <c:pt idx="17">
                  <c:v>0.17359748522936377</c:v>
                </c:pt>
              </c:numCache>
            </c:numRef>
          </c:xVal>
          <c:yVal>
            <c:numRef>
              <c:f>поляризация!$I$2:$I$19</c:f>
              <c:numCache>
                <c:formatCode>General</c:formatCode>
                <c:ptCount val="18"/>
                <c:pt idx="0">
                  <c:v>0.84119102419205982</c:v>
                </c:pt>
                <c:pt idx="1">
                  <c:v>5.0507627227610548E-2</c:v>
                </c:pt>
                <c:pt idx="2">
                  <c:v>8.5777754279601548E-2</c:v>
                </c:pt>
                <c:pt idx="3">
                  <c:v>0.18200549450549455</c:v>
                </c:pt>
                <c:pt idx="4">
                  <c:v>0.32991443953692906</c:v>
                </c:pt>
                <c:pt idx="5">
                  <c:v>0.37500000000000006</c:v>
                </c:pt>
                <c:pt idx="6">
                  <c:v>0.39516790469763929</c:v>
                </c:pt>
                <c:pt idx="7">
                  <c:v>0.48014537720098571</c:v>
                </c:pt>
                <c:pt idx="8">
                  <c:v>0.65860697374223975</c:v>
                </c:pt>
                <c:pt idx="9">
                  <c:v>0.71004694680469305</c:v>
                </c:pt>
                <c:pt idx="10">
                  <c:v>0.80943644042863794</c:v>
                </c:pt>
                <c:pt idx="11">
                  <c:v>0.82480200891454247</c:v>
                </c:pt>
                <c:pt idx="12">
                  <c:v>0.83333333333333326</c:v>
                </c:pt>
                <c:pt idx="13">
                  <c:v>0.82915801515453269</c:v>
                </c:pt>
                <c:pt idx="14">
                  <c:v>0.90750110018012831</c:v>
                </c:pt>
                <c:pt idx="15">
                  <c:v>0.88262807545704525</c:v>
                </c:pt>
                <c:pt idx="16">
                  <c:v>0.87778772836950714</c:v>
                </c:pt>
                <c:pt idx="17">
                  <c:v>0.21023959382255281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845232"/>
        <c:axId val="426846016"/>
      </c:scatterChart>
      <c:valAx>
        <c:axId val="4268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6846016"/>
        <c:crosses val="autoZero"/>
        <c:crossBetween val="midCat"/>
      </c:valAx>
      <c:valAx>
        <c:axId val="42684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68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'длина когерентности'!$A$2:$A$27</c:f>
              <c:numCache>
                <c:formatCode>0.0</c:formatCode>
                <c:ptCount val="26"/>
                <c:pt idx="0">
                  <c:v>9.5</c:v>
                </c:pt>
                <c:pt idx="1">
                  <c:v>7</c:v>
                </c:pt>
                <c:pt idx="2">
                  <c:v>10</c:v>
                </c:pt>
                <c:pt idx="3">
                  <c:v>13</c:v>
                </c:pt>
                <c:pt idx="4">
                  <c:v>16</c:v>
                </c:pt>
                <c:pt idx="5">
                  <c:v>19</c:v>
                </c:pt>
                <c:pt idx="6">
                  <c:v>22</c:v>
                </c:pt>
                <c:pt idx="7">
                  <c:v>25</c:v>
                </c:pt>
                <c:pt idx="8">
                  <c:v>28</c:v>
                </c:pt>
                <c:pt idx="9">
                  <c:v>31</c:v>
                </c:pt>
                <c:pt idx="10">
                  <c:v>34</c:v>
                </c:pt>
                <c:pt idx="11">
                  <c:v>37</c:v>
                </c:pt>
                <c:pt idx="12">
                  <c:v>40</c:v>
                </c:pt>
                <c:pt idx="13">
                  <c:v>43</c:v>
                </c:pt>
                <c:pt idx="14">
                  <c:v>46</c:v>
                </c:pt>
                <c:pt idx="15">
                  <c:v>49</c:v>
                </c:pt>
                <c:pt idx="16">
                  <c:v>52</c:v>
                </c:pt>
                <c:pt idx="17">
                  <c:v>55</c:v>
                </c:pt>
                <c:pt idx="18">
                  <c:v>58</c:v>
                </c:pt>
                <c:pt idx="19">
                  <c:v>61</c:v>
                </c:pt>
                <c:pt idx="20">
                  <c:v>64</c:v>
                </c:pt>
                <c:pt idx="21">
                  <c:v>67</c:v>
                </c:pt>
                <c:pt idx="22">
                  <c:v>70</c:v>
                </c:pt>
                <c:pt idx="23">
                  <c:v>73</c:v>
                </c:pt>
                <c:pt idx="24">
                  <c:v>76</c:v>
                </c:pt>
              </c:numCache>
            </c:numRef>
          </c:xVal>
          <c:yVal>
            <c:numRef>
              <c:f>'длина когерентности'!$I$2:$I$27</c:f>
              <c:numCache>
                <c:formatCode>0.0</c:formatCode>
                <c:ptCount val="26"/>
                <c:pt idx="0">
                  <c:v>0.82310256843400642</c:v>
                </c:pt>
                <c:pt idx="1">
                  <c:v>0.75761440841415795</c:v>
                </c:pt>
                <c:pt idx="2">
                  <c:v>0.87487272171572439</c:v>
                </c:pt>
                <c:pt idx="3">
                  <c:v>0.67961230415899376</c:v>
                </c:pt>
                <c:pt idx="4">
                  <c:v>0.63028116811545765</c:v>
                </c:pt>
                <c:pt idx="5">
                  <c:v>0.4238329314028072</c:v>
                </c:pt>
                <c:pt idx="6">
                  <c:v>0.27443357303404126</c:v>
                </c:pt>
                <c:pt idx="7">
                  <c:v>0.10351542494756141</c:v>
                </c:pt>
                <c:pt idx="8">
                  <c:v>2.4219024651588979E-2</c:v>
                </c:pt>
                <c:pt idx="9">
                  <c:v>0.11345996118923676</c:v>
                </c:pt>
                <c:pt idx="10">
                  <c:v>0.14634153305963971</c:v>
                </c:pt>
                <c:pt idx="11">
                  <c:v>0.17717980491963922</c:v>
                </c:pt>
                <c:pt idx="12">
                  <c:v>0.17025130615174972</c:v>
                </c:pt>
                <c:pt idx="13">
                  <c:v>0.19583736295016008</c:v>
                </c:pt>
                <c:pt idx="14">
                  <c:v>0.18815445225159538</c:v>
                </c:pt>
                <c:pt idx="15">
                  <c:v>0.1628347368197324</c:v>
                </c:pt>
                <c:pt idx="16">
                  <c:v>9.9136319419321953E-2</c:v>
                </c:pt>
                <c:pt idx="17">
                  <c:v>6.6683133671158051E-2</c:v>
                </c:pt>
                <c:pt idx="18">
                  <c:v>0.14782809899727065</c:v>
                </c:pt>
                <c:pt idx="19">
                  <c:v>0.31034482758620691</c:v>
                </c:pt>
                <c:pt idx="20">
                  <c:v>0.48193159734149937</c:v>
                </c:pt>
                <c:pt idx="21">
                  <c:v>0.61237243569579458</c:v>
                </c:pt>
                <c:pt idx="22">
                  <c:v>0.68185296757274216</c:v>
                </c:pt>
                <c:pt idx="23">
                  <c:v>0.7559289460184544</c:v>
                </c:pt>
                <c:pt idx="24">
                  <c:v>0.67175144212722027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851112"/>
        <c:axId val="426850328"/>
      </c:scatterChart>
      <c:valAx>
        <c:axId val="426851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6850328"/>
        <c:crosses val="autoZero"/>
        <c:crossBetween val="midCat"/>
      </c:valAx>
      <c:valAx>
        <c:axId val="42685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6851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501650</xdr:colOff>
      <xdr:row>5</xdr:row>
      <xdr:rowOff>38100</xdr:rowOff>
    </xdr:from>
    <xdr:to>
      <xdr:col>16</xdr:col>
      <xdr:colOff>196850</xdr:colOff>
      <xdr:row>18</xdr:row>
      <xdr:rowOff>19050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6</xdr:row>
      <xdr:rowOff>139700</xdr:rowOff>
    </xdr:from>
    <xdr:to>
      <xdr:col>15</xdr:col>
      <xdr:colOff>285750</xdr:colOff>
      <xdr:row>21</xdr:row>
      <xdr:rowOff>120650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F13" sqref="F13"/>
    </sheetView>
  </sheetViews>
  <sheetFormatPr defaultRowHeight="14.5" x14ac:dyDescent="0.35"/>
  <cols>
    <col min="1" max="1" width="13.26953125" bestFit="1" customWidth="1"/>
  </cols>
  <sheetData>
    <row r="1" spans="1:12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</v>
      </c>
      <c r="J1" t="s">
        <v>9</v>
      </c>
    </row>
    <row r="2" spans="1:12" x14ac:dyDescent="0.35">
      <c r="A2" s="2">
        <v>0</v>
      </c>
      <c r="B2" s="2">
        <v>4.5</v>
      </c>
      <c r="C2" s="2">
        <v>9.5</v>
      </c>
      <c r="D2" s="2">
        <v>3</v>
      </c>
      <c r="E2" s="2">
        <v>25</v>
      </c>
      <c r="F2">
        <f>B2/C2</f>
        <v>0.47368421052631576</v>
      </c>
      <c r="G2">
        <f>(E2-D2)/(E2+D2)</f>
        <v>0.7857142857142857</v>
      </c>
      <c r="H2">
        <f>2*SQRT(F2)/(1 + F2)</f>
        <v>0.93404977361585861</v>
      </c>
      <c r="I2">
        <f>G2/H2</f>
        <v>0.84119102419205982</v>
      </c>
      <c r="J2">
        <v>1</v>
      </c>
      <c r="K2">
        <f>COS(A2/180 * 3.1415)*COS(A2/180 * 3.1415)</f>
        <v>1</v>
      </c>
      <c r="L2">
        <f>COS(A2/180 * 3.1415)</f>
        <v>1</v>
      </c>
    </row>
    <row r="3" spans="1:12" x14ac:dyDescent="0.35">
      <c r="A3" s="2">
        <v>90</v>
      </c>
      <c r="B3" s="2">
        <v>1</v>
      </c>
      <c r="C3" s="2">
        <v>24.5</v>
      </c>
      <c r="D3" s="2">
        <v>25</v>
      </c>
      <c r="E3" s="2">
        <v>26</v>
      </c>
      <c r="F3">
        <f t="shared" ref="F3:F7" si="0">B3/C3</f>
        <v>4.0816326530612242E-2</v>
      </c>
      <c r="G3">
        <f t="shared" ref="G3:G7" si="1">(E3-D3)/(E3+D3)</f>
        <v>1.9607843137254902E-2</v>
      </c>
      <c r="H3">
        <f t="shared" ref="H3:H7" si="2">2*SQRT(F3)/(1 + F3)</f>
        <v>0.38821548771026132</v>
      </c>
      <c r="I3">
        <f t="shared" ref="I3:I7" si="3">G3/H3</f>
        <v>5.0507627227610548E-2</v>
      </c>
      <c r="J3">
        <v>1</v>
      </c>
      <c r="K3">
        <f t="shared" ref="K3:K20" si="4">COS(A3/180 * 3.1415)*COS(A3/180 * 3.1415)</f>
        <v>2.1461719238496826E-9</v>
      </c>
      <c r="L3">
        <f t="shared" ref="L3:L20" si="5">COS(A3/180 * 3.1415)</f>
        <v>4.6326794879957784E-5</v>
      </c>
    </row>
    <row r="4" spans="1:12" x14ac:dyDescent="0.35">
      <c r="A4" s="2">
        <v>85</v>
      </c>
      <c r="B4" s="2">
        <v>1.5</v>
      </c>
      <c r="C4" s="2">
        <v>24.5</v>
      </c>
      <c r="D4" s="2">
        <v>24</v>
      </c>
      <c r="E4" s="2">
        <v>26</v>
      </c>
      <c r="F4">
        <f t="shared" si="0"/>
        <v>6.1224489795918366E-2</v>
      </c>
      <c r="G4">
        <f t="shared" si="1"/>
        <v>0.04</v>
      </c>
      <c r="H4">
        <f t="shared" si="2"/>
        <v>0.46632137126854384</v>
      </c>
      <c r="I4">
        <f t="shared" si="3"/>
        <v>8.5777754279601548E-2</v>
      </c>
      <c r="J4">
        <v>1</v>
      </c>
      <c r="K4">
        <f t="shared" si="4"/>
        <v>7.6037230224515317E-3</v>
      </c>
      <c r="L4">
        <f t="shared" si="5"/>
        <v>8.7199329254596517E-2</v>
      </c>
    </row>
    <row r="5" spans="1:12" x14ac:dyDescent="0.35">
      <c r="A5" s="2">
        <v>80</v>
      </c>
      <c r="B5" s="2">
        <v>2</v>
      </c>
      <c r="C5" s="2">
        <v>24.5</v>
      </c>
      <c r="D5" s="2">
        <v>23.5</v>
      </c>
      <c r="E5" s="2">
        <v>28.5</v>
      </c>
      <c r="F5">
        <f t="shared" si="0"/>
        <v>8.1632653061224483E-2</v>
      </c>
      <c r="G5">
        <f t="shared" si="1"/>
        <v>9.6153846153846159E-2</v>
      </c>
      <c r="H5">
        <f t="shared" si="2"/>
        <v>0.52830188679245271</v>
      </c>
      <c r="I5">
        <f t="shared" si="3"/>
        <v>0.18200549450549455</v>
      </c>
      <c r="J5">
        <v>1</v>
      </c>
      <c r="K5">
        <f t="shared" si="4"/>
        <v>3.0167775375643073E-2</v>
      </c>
      <c r="L5">
        <f t="shared" si="5"/>
        <v>0.17368873128572007</v>
      </c>
    </row>
    <row r="6" spans="1:12" x14ac:dyDescent="0.35">
      <c r="A6" s="2">
        <v>75</v>
      </c>
      <c r="B6" s="2">
        <v>1.5</v>
      </c>
      <c r="C6" s="2">
        <v>24.5</v>
      </c>
      <c r="D6" s="2">
        <v>22</v>
      </c>
      <c r="E6" s="2">
        <v>30</v>
      </c>
      <c r="F6">
        <f t="shared" si="0"/>
        <v>6.1224489795918366E-2</v>
      </c>
      <c r="G6">
        <f t="shared" si="1"/>
        <v>0.15384615384615385</v>
      </c>
      <c r="H6">
        <f t="shared" si="2"/>
        <v>0.46632137126854384</v>
      </c>
      <c r="I6">
        <f t="shared" si="3"/>
        <v>0.32991443953692906</v>
      </c>
      <c r="J6">
        <v>1</v>
      </c>
      <c r="K6">
        <f t="shared" si="4"/>
        <v>6.7006602229690196E-2</v>
      </c>
      <c r="L6">
        <f t="shared" si="5"/>
        <v>0.25885633511600636</v>
      </c>
    </row>
    <row r="7" spans="1:12" x14ac:dyDescent="0.35">
      <c r="A7" s="2">
        <v>70</v>
      </c>
      <c r="B7" s="2">
        <v>1.5</v>
      </c>
      <c r="C7" s="2">
        <v>24</v>
      </c>
      <c r="D7" s="2">
        <v>21</v>
      </c>
      <c r="E7" s="2">
        <v>30</v>
      </c>
      <c r="F7">
        <f t="shared" si="0"/>
        <v>6.25E-2</v>
      </c>
      <c r="G7">
        <f t="shared" si="1"/>
        <v>0.17647058823529413</v>
      </c>
      <c r="H7">
        <f t="shared" si="2"/>
        <v>0.47058823529411764</v>
      </c>
      <c r="I7">
        <f t="shared" si="3"/>
        <v>0.37500000000000006</v>
      </c>
      <c r="J7" s="1">
        <f>5/2</f>
        <v>2.5</v>
      </c>
      <c r="K7">
        <f t="shared" si="4"/>
        <v>0.11700094032707994</v>
      </c>
      <c r="L7">
        <f t="shared" si="5"/>
        <v>0.34205400206265668</v>
      </c>
    </row>
    <row r="8" spans="1:12" x14ac:dyDescent="0.35">
      <c r="A8" s="2">
        <v>65</v>
      </c>
      <c r="B8" s="2">
        <v>2.4</v>
      </c>
      <c r="C8" s="2">
        <v>23.5</v>
      </c>
      <c r="D8" s="2">
        <v>18.5</v>
      </c>
      <c r="E8" s="2">
        <v>29.5</v>
      </c>
      <c r="F8">
        <f t="shared" ref="F8:F18" si="6">B8/C8</f>
        <v>0.10212765957446808</v>
      </c>
      <c r="G8">
        <f t="shared" ref="G8:G18" si="7">(E8-D8)/(E8+D8)</f>
        <v>0.22916666666666666</v>
      </c>
      <c r="H8">
        <f t="shared" ref="H8:H18" si="8">2*SQRT(F8)/(1 + F8)</f>
        <v>0.57992226580752393</v>
      </c>
      <c r="I8">
        <f t="shared" ref="I8:I18" si="9">G8/H8</f>
        <v>0.39516790469763929</v>
      </c>
      <c r="K8">
        <f t="shared" si="4"/>
        <v>0.17863182637569197</v>
      </c>
      <c r="L8">
        <f t="shared" si="5"/>
        <v>0.42264858496828306</v>
      </c>
    </row>
    <row r="9" spans="1:12" x14ac:dyDescent="0.35">
      <c r="A9" s="2">
        <v>60</v>
      </c>
      <c r="B9" s="2">
        <v>2.5</v>
      </c>
      <c r="C9" s="2">
        <v>24.5</v>
      </c>
      <c r="D9" s="2">
        <v>17.5</v>
      </c>
      <c r="E9" s="2">
        <v>31</v>
      </c>
      <c r="F9">
        <f t="shared" si="6"/>
        <v>0.10204081632653061</v>
      </c>
      <c r="G9">
        <f t="shared" si="7"/>
        <v>0.27835051546391754</v>
      </c>
      <c r="H9">
        <f t="shared" si="8"/>
        <v>0.57972132749994554</v>
      </c>
      <c r="I9">
        <f t="shared" si="9"/>
        <v>0.48014537720098571</v>
      </c>
      <c r="K9">
        <f t="shared" si="4"/>
        <v>0.25002674726441443</v>
      </c>
      <c r="L9">
        <f t="shared" si="5"/>
        <v>0.50002674654903656</v>
      </c>
    </row>
    <row r="10" spans="1:12" x14ac:dyDescent="0.35">
      <c r="A10" s="2">
        <v>55</v>
      </c>
      <c r="B10" s="2">
        <v>3</v>
      </c>
      <c r="C10" s="2">
        <v>25</v>
      </c>
      <c r="D10" s="2">
        <v>16</v>
      </c>
      <c r="E10" s="2">
        <v>38</v>
      </c>
      <c r="F10">
        <f t="shared" si="6"/>
        <v>0.12</v>
      </c>
      <c r="G10">
        <f t="shared" si="7"/>
        <v>0.40740740740740738</v>
      </c>
      <c r="H10">
        <f t="shared" si="8"/>
        <v>0.61858957413174187</v>
      </c>
      <c r="I10">
        <f t="shared" si="9"/>
        <v>0.65860697374223975</v>
      </c>
      <c r="K10">
        <f t="shared" si="4"/>
        <v>0.32901653207908127</v>
      </c>
      <c r="L10">
        <f t="shared" si="5"/>
        <v>0.57359962698652556</v>
      </c>
    </row>
    <row r="11" spans="1:12" x14ac:dyDescent="0.35">
      <c r="A11" s="2">
        <v>50</v>
      </c>
      <c r="B11" s="2">
        <v>1.5</v>
      </c>
      <c r="C11" s="2">
        <v>10</v>
      </c>
      <c r="D11" s="2">
        <v>6</v>
      </c>
      <c r="E11" s="2">
        <v>17</v>
      </c>
      <c r="F11">
        <f t="shared" si="6"/>
        <v>0.15</v>
      </c>
      <c r="G11">
        <f t="shared" si="7"/>
        <v>0.47826086956521741</v>
      </c>
      <c r="H11">
        <f t="shared" si="8"/>
        <v>0.67356232107955083</v>
      </c>
      <c r="I11">
        <f t="shared" si="9"/>
        <v>0.71004694680469305</v>
      </c>
      <c r="K11">
        <f t="shared" si="4"/>
        <v>0.41320125738531804</v>
      </c>
      <c r="L11">
        <f t="shared" si="5"/>
        <v>0.6428073252424229</v>
      </c>
    </row>
    <row r="12" spans="1:12" x14ac:dyDescent="0.35">
      <c r="A12" s="2">
        <v>45</v>
      </c>
      <c r="B12" s="2">
        <v>1.5</v>
      </c>
      <c r="C12" s="2">
        <v>9.5</v>
      </c>
      <c r="D12" s="2">
        <v>5</v>
      </c>
      <c r="E12" s="2">
        <v>17.5</v>
      </c>
      <c r="F12">
        <f t="shared" si="6"/>
        <v>0.15789473684210525</v>
      </c>
      <c r="G12">
        <f t="shared" si="7"/>
        <v>0.55555555555555558</v>
      </c>
      <c r="H12">
        <f t="shared" si="8"/>
        <v>0.6863485850246136</v>
      </c>
      <c r="I12">
        <f t="shared" si="9"/>
        <v>0.80943644042863794</v>
      </c>
      <c r="K12">
        <f t="shared" si="4"/>
        <v>0.50002316339744002</v>
      </c>
      <c r="L12">
        <f t="shared" si="5"/>
        <v>0.7071231599922605</v>
      </c>
    </row>
    <row r="13" spans="1:12" x14ac:dyDescent="0.35">
      <c r="A13" s="2">
        <v>40</v>
      </c>
      <c r="B13" s="2">
        <v>1.5</v>
      </c>
      <c r="C13" s="2">
        <v>10</v>
      </c>
      <c r="D13" s="2">
        <v>5</v>
      </c>
      <c r="E13" s="2">
        <v>17.5</v>
      </c>
      <c r="F13">
        <f t="shared" si="6"/>
        <v>0.15</v>
      </c>
      <c r="G13">
        <f t="shared" si="7"/>
        <v>0.55555555555555558</v>
      </c>
      <c r="H13">
        <f t="shared" si="8"/>
        <v>0.67356232107955083</v>
      </c>
      <c r="I13">
        <f t="shared" si="9"/>
        <v>0.82480200891454247</v>
      </c>
      <c r="K13">
        <f t="shared" si="4"/>
        <v>0.58684436564286002</v>
      </c>
      <c r="L13">
        <f t="shared" si="5"/>
        <v>0.76605767775204758</v>
      </c>
    </row>
    <row r="14" spans="1:12" x14ac:dyDescent="0.35">
      <c r="A14" s="2">
        <v>35</v>
      </c>
      <c r="B14" s="2">
        <v>2.5</v>
      </c>
      <c r="C14" s="2">
        <v>10</v>
      </c>
      <c r="D14" s="2">
        <v>4</v>
      </c>
      <c r="E14" s="2">
        <v>20</v>
      </c>
      <c r="F14">
        <f t="shared" si="6"/>
        <v>0.25</v>
      </c>
      <c r="G14">
        <f t="shared" si="7"/>
        <v>0.66666666666666663</v>
      </c>
      <c r="H14">
        <f t="shared" si="8"/>
        <v>0.8</v>
      </c>
      <c r="I14">
        <f t="shared" si="9"/>
        <v>0.83333333333333326</v>
      </c>
      <c r="K14">
        <f t="shared" si="4"/>
        <v>0.6710270010313284</v>
      </c>
      <c r="L14">
        <f t="shared" si="5"/>
        <v>0.81916237769524569</v>
      </c>
    </row>
    <row r="15" spans="1:12" x14ac:dyDescent="0.35">
      <c r="A15" s="2">
        <v>30</v>
      </c>
      <c r="B15" s="2">
        <v>2.5</v>
      </c>
      <c r="C15" s="2">
        <v>9.5</v>
      </c>
      <c r="D15" s="2">
        <v>4</v>
      </c>
      <c r="E15" s="2">
        <v>20.5</v>
      </c>
      <c r="F15">
        <f t="shared" si="6"/>
        <v>0.26315789473684209</v>
      </c>
      <c r="G15">
        <f t="shared" si="7"/>
        <v>0.67346938775510201</v>
      </c>
      <c r="H15">
        <f t="shared" si="8"/>
        <v>0.81223286206741363</v>
      </c>
      <c r="I15">
        <f t="shared" si="9"/>
        <v>0.82915801515453269</v>
      </c>
      <c r="K15">
        <f t="shared" si="4"/>
        <v>0.75001337327451822</v>
      </c>
      <c r="L15">
        <f t="shared" si="5"/>
        <v>0.86603312481366335</v>
      </c>
    </row>
    <row r="16" spans="1:12" x14ac:dyDescent="0.35">
      <c r="A16" s="2">
        <v>25</v>
      </c>
      <c r="B16" s="2">
        <v>3</v>
      </c>
      <c r="C16" s="2">
        <v>10</v>
      </c>
      <c r="D16" s="2">
        <v>3</v>
      </c>
      <c r="E16" s="2">
        <v>22.5</v>
      </c>
      <c r="F16">
        <f t="shared" si="6"/>
        <v>0.3</v>
      </c>
      <c r="G16">
        <f t="shared" si="7"/>
        <v>0.76470588235294112</v>
      </c>
      <c r="H16">
        <f t="shared" si="8"/>
        <v>0.84265008846948619</v>
      </c>
      <c r="I16">
        <f t="shared" si="9"/>
        <v>0.90750110018012831</v>
      </c>
      <c r="K16">
        <f t="shared" si="4"/>
        <v>0.82140366262121145</v>
      </c>
      <c r="L16">
        <f t="shared" si="5"/>
        <v>0.90631322544758852</v>
      </c>
    </row>
    <row r="17" spans="1:12" x14ac:dyDescent="0.35">
      <c r="A17" s="2">
        <v>20</v>
      </c>
      <c r="B17" s="2">
        <v>3.5</v>
      </c>
      <c r="C17" s="2">
        <v>10</v>
      </c>
      <c r="D17" s="2">
        <v>3</v>
      </c>
      <c r="E17" s="2">
        <v>23.5</v>
      </c>
      <c r="F17">
        <f t="shared" si="6"/>
        <v>0.35</v>
      </c>
      <c r="G17">
        <f t="shared" si="7"/>
        <v>0.77358490566037741</v>
      </c>
      <c r="H17">
        <f t="shared" si="8"/>
        <v>0.87645626416290601</v>
      </c>
      <c r="I17">
        <f t="shared" si="9"/>
        <v>0.88262807545704525</v>
      </c>
      <c r="K17">
        <f t="shared" si="4"/>
        <v>0.8830288388760239</v>
      </c>
      <c r="L17">
        <f t="shared" si="5"/>
        <v>0.9396961417798968</v>
      </c>
    </row>
    <row r="18" spans="1:12" x14ac:dyDescent="0.35">
      <c r="A18" s="2">
        <v>10</v>
      </c>
      <c r="B18" s="1">
        <v>5</v>
      </c>
      <c r="C18" s="1">
        <v>10</v>
      </c>
      <c r="D18" s="1">
        <v>2.5</v>
      </c>
      <c r="E18" s="1">
        <v>26.5</v>
      </c>
      <c r="F18">
        <f t="shared" si="6"/>
        <v>0.5</v>
      </c>
      <c r="G18">
        <f t="shared" si="7"/>
        <v>0.82758620689655171</v>
      </c>
      <c r="H18">
        <f t="shared" si="8"/>
        <v>0.94280904158206347</v>
      </c>
      <c r="I18">
        <f t="shared" si="9"/>
        <v>0.87778772836950714</v>
      </c>
      <c r="K18">
        <f t="shared" si="4"/>
        <v>0.96984807088994851</v>
      </c>
      <c r="L18">
        <f t="shared" si="5"/>
        <v>0.98480864683955149</v>
      </c>
    </row>
    <row r="19" spans="1:12" x14ac:dyDescent="0.35">
      <c r="A19" s="1">
        <v>100</v>
      </c>
      <c r="B19" s="1">
        <v>1.5</v>
      </c>
      <c r="C19" s="1">
        <v>24.5</v>
      </c>
      <c r="D19" s="1">
        <v>23</v>
      </c>
      <c r="E19" s="1">
        <v>28</v>
      </c>
      <c r="F19">
        <f>B19/C19</f>
        <v>6.1224489795918366E-2</v>
      </c>
      <c r="G19">
        <f>(E19-D19)/(E19+D19)</f>
        <v>9.8039215686274508E-2</v>
      </c>
      <c r="H19">
        <f>2*SQRT(F19)/(1 + F19)</f>
        <v>0.46632137126854384</v>
      </c>
      <c r="I19">
        <f>G19/H19</f>
        <v>0.21023959382255281</v>
      </c>
      <c r="K19">
        <f t="shared" si="4"/>
        <v>3.0136086877959174E-2</v>
      </c>
      <c r="L19">
        <f>ABS(COS(A19/180 * 3.1415))</f>
        <v>0.17359748522936377</v>
      </c>
    </row>
    <row r="20" spans="1:12" x14ac:dyDescent="0.35">
      <c r="A20" s="1">
        <v>95</v>
      </c>
      <c r="B20" s="1">
        <v>1</v>
      </c>
      <c r="C20" s="1">
        <v>24.5</v>
      </c>
      <c r="D20" s="1">
        <v>24</v>
      </c>
      <c r="E20" s="1">
        <v>27</v>
      </c>
      <c r="F20">
        <f t="shared" ref="F20:F25" si="10">B20/C20</f>
        <v>4.0816326530612242E-2</v>
      </c>
      <c r="G20">
        <f t="shared" ref="G20:G25" si="11">(E20-D20)/(E20+D20)</f>
        <v>5.8823529411764705E-2</v>
      </c>
      <c r="H20">
        <f t="shared" ref="H20:H25" si="12">2*SQRT(F20)/(1 + F20)</f>
        <v>0.38821548771026132</v>
      </c>
      <c r="I20">
        <f t="shared" ref="I20:I25" si="13">G20/H20</f>
        <v>0.15152288168283162</v>
      </c>
      <c r="K20">
        <f t="shared" si="4"/>
        <v>7.5876343651344012E-3</v>
      </c>
      <c r="L20">
        <f>ABS(COS(A20/180 * 3.1415))</f>
        <v>8.7107028218935359E-2</v>
      </c>
    </row>
    <row r="21" spans="1:12" x14ac:dyDescent="0.35">
      <c r="F21" t="e">
        <f t="shared" si="10"/>
        <v>#DIV/0!</v>
      </c>
      <c r="G21" t="e">
        <f t="shared" si="11"/>
        <v>#DIV/0!</v>
      </c>
      <c r="H21" t="e">
        <f t="shared" si="12"/>
        <v>#DIV/0!</v>
      </c>
      <c r="I21" t="e">
        <f t="shared" si="13"/>
        <v>#DIV/0!</v>
      </c>
    </row>
    <row r="22" spans="1:12" x14ac:dyDescent="0.35">
      <c r="F22" t="e">
        <f t="shared" si="10"/>
        <v>#DIV/0!</v>
      </c>
      <c r="G22" t="e">
        <f t="shared" si="11"/>
        <v>#DIV/0!</v>
      </c>
      <c r="H22" t="e">
        <f t="shared" si="12"/>
        <v>#DIV/0!</v>
      </c>
      <c r="I22" t="e">
        <f t="shared" si="13"/>
        <v>#DIV/0!</v>
      </c>
    </row>
    <row r="23" spans="1:12" x14ac:dyDescent="0.35">
      <c r="F23" t="e">
        <f t="shared" si="10"/>
        <v>#DIV/0!</v>
      </c>
      <c r="G23" t="e">
        <f t="shared" si="11"/>
        <v>#DIV/0!</v>
      </c>
      <c r="H23" t="e">
        <f t="shared" si="12"/>
        <v>#DIV/0!</v>
      </c>
      <c r="I23" t="e">
        <f t="shared" si="13"/>
        <v>#DIV/0!</v>
      </c>
    </row>
    <row r="24" spans="1:12" x14ac:dyDescent="0.35">
      <c r="F24" t="e">
        <f t="shared" si="10"/>
        <v>#DIV/0!</v>
      </c>
      <c r="G24" t="e">
        <f t="shared" si="11"/>
        <v>#DIV/0!</v>
      </c>
      <c r="H24" t="e">
        <f t="shared" si="12"/>
        <v>#DIV/0!</v>
      </c>
      <c r="I24" t="e">
        <f t="shared" si="13"/>
        <v>#DIV/0!</v>
      </c>
    </row>
    <row r="25" spans="1:12" x14ac:dyDescent="0.35">
      <c r="F25" t="e">
        <f t="shared" si="10"/>
        <v>#DIV/0!</v>
      </c>
      <c r="G25" t="e">
        <f t="shared" si="11"/>
        <v>#DIV/0!</v>
      </c>
      <c r="H25" t="e">
        <f t="shared" si="12"/>
        <v>#DIV/0!</v>
      </c>
      <c r="I25" t="e">
        <f t="shared" si="13"/>
        <v>#DIV/0!</v>
      </c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selection activeCell="E11" sqref="E11"/>
    </sheetView>
  </sheetViews>
  <sheetFormatPr defaultRowHeight="14.5" x14ac:dyDescent="0.35"/>
  <sheetData>
    <row r="1" spans="1:9" x14ac:dyDescent="0.3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s="2">
        <v>9.5</v>
      </c>
      <c r="B2" s="2">
        <v>10.5</v>
      </c>
      <c r="C2" s="2">
        <v>4.5</v>
      </c>
      <c r="D2" s="2">
        <v>3.5</v>
      </c>
      <c r="E2" s="2">
        <v>25</v>
      </c>
      <c r="F2" s="2">
        <f>B2/C2</f>
        <v>2.3333333333333335</v>
      </c>
      <c r="G2" s="2">
        <f>(E2-D2)/(E2+D2)</f>
        <v>0.75438596491228072</v>
      </c>
      <c r="H2" s="2">
        <f>2*SQRT(F2)/(1 + F2)</f>
        <v>0.91651513899116799</v>
      </c>
      <c r="I2" s="2">
        <f>G2/H2</f>
        <v>0.82310256843400642</v>
      </c>
    </row>
    <row r="3" spans="1:9" x14ac:dyDescent="0.35">
      <c r="A3" s="2">
        <v>7</v>
      </c>
      <c r="B3" s="2">
        <v>2.5</v>
      </c>
      <c r="C3" s="2">
        <v>5</v>
      </c>
      <c r="D3" s="2">
        <v>2</v>
      </c>
      <c r="E3" s="2">
        <v>12</v>
      </c>
      <c r="F3" s="2">
        <f t="shared" ref="F3:F26" si="0">B3/C3</f>
        <v>0.5</v>
      </c>
      <c r="G3" s="2">
        <f t="shared" ref="G3:G26" si="1">(E3-D3)/(E3+D3)</f>
        <v>0.7142857142857143</v>
      </c>
      <c r="H3" s="2">
        <f t="shared" ref="H3:H26" si="2">2*SQRT(F3)/(1 + F3)</f>
        <v>0.94280904158206347</v>
      </c>
      <c r="I3" s="2">
        <f t="shared" ref="I3:I26" si="3">G3/H3</f>
        <v>0.75761440841415795</v>
      </c>
    </row>
    <row r="4" spans="1:9" x14ac:dyDescent="0.35">
      <c r="A4" s="2">
        <v>10</v>
      </c>
      <c r="B4" s="2">
        <v>6</v>
      </c>
      <c r="C4" s="2">
        <v>13</v>
      </c>
      <c r="D4" s="2">
        <v>3.5</v>
      </c>
      <c r="E4" s="2">
        <v>34</v>
      </c>
      <c r="F4" s="2">
        <f t="shared" si="0"/>
        <v>0.46153846153846156</v>
      </c>
      <c r="G4" s="2">
        <f t="shared" si="1"/>
        <v>0.81333333333333335</v>
      </c>
      <c r="H4" s="2">
        <f t="shared" si="2"/>
        <v>0.92965903856082588</v>
      </c>
      <c r="I4" s="2">
        <f t="shared" si="3"/>
        <v>0.87487272171572439</v>
      </c>
    </row>
    <row r="5" spans="1:9" x14ac:dyDescent="0.35">
      <c r="A5" s="2">
        <v>13</v>
      </c>
      <c r="B5" s="2">
        <v>4</v>
      </c>
      <c r="C5" s="2">
        <v>10</v>
      </c>
      <c r="D5" s="2">
        <v>5.5</v>
      </c>
      <c r="E5" s="2">
        <v>23</v>
      </c>
      <c r="F5" s="2">
        <f t="shared" si="0"/>
        <v>0.4</v>
      </c>
      <c r="G5" s="2">
        <f t="shared" si="1"/>
        <v>0.61403508771929827</v>
      </c>
      <c r="H5" s="2">
        <f t="shared" si="2"/>
        <v>0.90350790290525129</v>
      </c>
      <c r="I5" s="2">
        <f t="shared" si="3"/>
        <v>0.67961230415899376</v>
      </c>
    </row>
    <row r="6" spans="1:9" x14ac:dyDescent="0.35">
      <c r="A6" s="2">
        <v>16</v>
      </c>
      <c r="B6" s="2">
        <v>3</v>
      </c>
      <c r="C6" s="2">
        <v>11</v>
      </c>
      <c r="D6" s="2">
        <v>7</v>
      </c>
      <c r="E6" s="2">
        <v>22</v>
      </c>
      <c r="F6" s="2">
        <f t="shared" si="0"/>
        <v>0.27272727272727271</v>
      </c>
      <c r="G6" s="2">
        <f t="shared" si="1"/>
        <v>0.51724137931034486</v>
      </c>
      <c r="H6" s="2">
        <f t="shared" si="2"/>
        <v>0.82065180664828985</v>
      </c>
      <c r="I6" s="2">
        <f t="shared" si="3"/>
        <v>0.63028116811545765</v>
      </c>
    </row>
    <row r="7" spans="1:9" x14ac:dyDescent="0.35">
      <c r="A7" s="2">
        <v>19</v>
      </c>
      <c r="B7" s="2">
        <v>3</v>
      </c>
      <c r="C7" s="2">
        <v>10</v>
      </c>
      <c r="D7" s="2">
        <v>9</v>
      </c>
      <c r="E7" s="2">
        <v>19</v>
      </c>
      <c r="F7" s="2">
        <f t="shared" si="0"/>
        <v>0.3</v>
      </c>
      <c r="G7" s="2">
        <f t="shared" si="1"/>
        <v>0.35714285714285715</v>
      </c>
      <c r="H7" s="2">
        <f t="shared" si="2"/>
        <v>0.84265008846948619</v>
      </c>
      <c r="I7" s="2">
        <f t="shared" si="3"/>
        <v>0.4238329314028072</v>
      </c>
    </row>
    <row r="8" spans="1:9" x14ac:dyDescent="0.35">
      <c r="A8" s="2">
        <v>22</v>
      </c>
      <c r="B8" s="2">
        <v>6</v>
      </c>
      <c r="C8" s="2">
        <v>16</v>
      </c>
      <c r="D8" s="2">
        <v>17</v>
      </c>
      <c r="E8" s="2">
        <v>28</v>
      </c>
      <c r="F8" s="2">
        <f t="shared" si="0"/>
        <v>0.375</v>
      </c>
      <c r="G8" s="2">
        <f t="shared" si="1"/>
        <v>0.24444444444444444</v>
      </c>
      <c r="H8" s="2">
        <f t="shared" si="2"/>
        <v>0.89072354283024646</v>
      </c>
      <c r="I8" s="2">
        <f t="shared" si="3"/>
        <v>0.27443357303404126</v>
      </c>
    </row>
    <row r="9" spans="1:9" x14ac:dyDescent="0.35">
      <c r="A9" s="2">
        <v>25</v>
      </c>
      <c r="B9" s="2">
        <v>6</v>
      </c>
      <c r="C9" s="2">
        <v>17</v>
      </c>
      <c r="D9" s="2">
        <v>20</v>
      </c>
      <c r="E9" s="2">
        <v>24</v>
      </c>
      <c r="F9" s="2">
        <f t="shared" si="0"/>
        <v>0.35294117647058826</v>
      </c>
      <c r="G9" s="2">
        <f t="shared" si="1"/>
        <v>9.0909090909090912E-2</v>
      </c>
      <c r="H9" s="2">
        <f t="shared" si="2"/>
        <v>0.87821782072713717</v>
      </c>
      <c r="I9" s="2">
        <f t="shared" si="3"/>
        <v>0.10351542494756141</v>
      </c>
    </row>
    <row r="10" spans="1:9" x14ac:dyDescent="0.35">
      <c r="A10" s="2">
        <v>28</v>
      </c>
      <c r="B10" s="2">
        <v>6</v>
      </c>
      <c r="C10" s="2">
        <v>20</v>
      </c>
      <c r="D10" s="2">
        <v>24</v>
      </c>
      <c r="E10" s="2">
        <v>25</v>
      </c>
      <c r="F10" s="2">
        <f t="shared" si="0"/>
        <v>0.3</v>
      </c>
      <c r="G10" s="2">
        <f t="shared" si="1"/>
        <v>2.0408163265306121E-2</v>
      </c>
      <c r="H10" s="2">
        <f t="shared" si="2"/>
        <v>0.84265008846948619</v>
      </c>
      <c r="I10" s="2">
        <f t="shared" si="3"/>
        <v>2.4219024651588979E-2</v>
      </c>
    </row>
    <row r="11" spans="1:9" x14ac:dyDescent="0.35">
      <c r="A11" s="2">
        <v>31</v>
      </c>
      <c r="B11" s="2">
        <v>6</v>
      </c>
      <c r="C11" s="2">
        <v>21</v>
      </c>
      <c r="D11" s="2">
        <v>24</v>
      </c>
      <c r="E11" s="2">
        <v>29</v>
      </c>
      <c r="F11" s="2">
        <f t="shared" si="0"/>
        <v>0.2857142857142857</v>
      </c>
      <c r="G11" s="2">
        <f t="shared" si="1"/>
        <v>9.4339622641509441E-2</v>
      </c>
      <c r="H11" s="2">
        <f t="shared" si="2"/>
        <v>0.83147941928309821</v>
      </c>
      <c r="I11" s="2">
        <f t="shared" si="3"/>
        <v>0.11345996118923676</v>
      </c>
    </row>
    <row r="12" spans="1:9" x14ac:dyDescent="0.35">
      <c r="A12" s="2">
        <v>34</v>
      </c>
      <c r="B12" s="2">
        <v>6</v>
      </c>
      <c r="C12" s="2">
        <v>19</v>
      </c>
      <c r="D12" s="2">
        <v>21</v>
      </c>
      <c r="E12" s="2">
        <v>27</v>
      </c>
      <c r="F12" s="2">
        <f t="shared" si="0"/>
        <v>0.31578947368421051</v>
      </c>
      <c r="G12" s="2">
        <f t="shared" si="1"/>
        <v>0.125</v>
      </c>
      <c r="H12" s="2">
        <f t="shared" si="2"/>
        <v>0.85416626016250474</v>
      </c>
      <c r="I12" s="2">
        <f t="shared" si="3"/>
        <v>0.14634153305963971</v>
      </c>
    </row>
    <row r="13" spans="1:9" x14ac:dyDescent="0.35">
      <c r="A13" s="2">
        <v>37</v>
      </c>
      <c r="B13" s="2">
        <v>5.5</v>
      </c>
      <c r="C13" s="2">
        <v>18.5</v>
      </c>
      <c r="D13" s="2">
        <v>20</v>
      </c>
      <c r="E13" s="2">
        <v>27</v>
      </c>
      <c r="F13" s="2">
        <f t="shared" si="0"/>
        <v>0.29729729729729731</v>
      </c>
      <c r="G13" s="2">
        <f t="shared" si="1"/>
        <v>0.14893617021276595</v>
      </c>
      <c r="H13" s="2">
        <f t="shared" si="2"/>
        <v>0.8405933750763338</v>
      </c>
      <c r="I13" s="2">
        <f t="shared" si="3"/>
        <v>0.17717980491963922</v>
      </c>
    </row>
    <row r="14" spans="1:9" x14ac:dyDescent="0.35">
      <c r="A14" s="2">
        <v>40</v>
      </c>
      <c r="B14" s="2">
        <v>6</v>
      </c>
      <c r="C14" s="2">
        <v>23</v>
      </c>
      <c r="D14" s="2">
        <v>25</v>
      </c>
      <c r="E14" s="2">
        <v>33</v>
      </c>
      <c r="F14" s="2">
        <f t="shared" si="0"/>
        <v>0.2608695652173913</v>
      </c>
      <c r="G14" s="2">
        <f t="shared" si="1"/>
        <v>0.13793103448275862</v>
      </c>
      <c r="H14" s="2">
        <f t="shared" si="2"/>
        <v>0.81016138789453318</v>
      </c>
      <c r="I14" s="2">
        <f t="shared" si="3"/>
        <v>0.17025130615174972</v>
      </c>
    </row>
    <row r="15" spans="1:9" x14ac:dyDescent="0.35">
      <c r="A15" s="2">
        <v>43</v>
      </c>
      <c r="B15" s="2">
        <v>5.5</v>
      </c>
      <c r="C15" s="2">
        <v>24</v>
      </c>
      <c r="D15" s="2">
        <v>25</v>
      </c>
      <c r="E15" s="2">
        <v>34</v>
      </c>
      <c r="F15" s="2">
        <f t="shared" si="0"/>
        <v>0.22916666666666666</v>
      </c>
      <c r="G15" s="2">
        <f t="shared" si="1"/>
        <v>0.15254237288135594</v>
      </c>
      <c r="H15" s="2">
        <f t="shared" si="2"/>
        <v>0.77892374868312253</v>
      </c>
      <c r="I15" s="2">
        <f t="shared" si="3"/>
        <v>0.19583736295016008</v>
      </c>
    </row>
    <row r="16" spans="1:9" x14ac:dyDescent="0.35">
      <c r="A16" s="2">
        <v>46</v>
      </c>
      <c r="B16" s="2">
        <v>5.5</v>
      </c>
      <c r="C16" s="2">
        <v>26</v>
      </c>
      <c r="D16" s="2">
        <v>27</v>
      </c>
      <c r="E16" s="2">
        <v>36</v>
      </c>
      <c r="F16" s="2">
        <f t="shared" si="0"/>
        <v>0.21153846153846154</v>
      </c>
      <c r="G16" s="2">
        <f t="shared" si="1"/>
        <v>0.14285714285714285</v>
      </c>
      <c r="H16" s="2">
        <f t="shared" si="2"/>
        <v>0.75925465035564443</v>
      </c>
      <c r="I16" s="2">
        <f t="shared" si="3"/>
        <v>0.18815445225159538</v>
      </c>
    </row>
    <row r="17" spans="1:9" x14ac:dyDescent="0.35">
      <c r="A17" s="2">
        <v>49</v>
      </c>
      <c r="B17" s="2">
        <v>5.5</v>
      </c>
      <c r="C17" s="2">
        <v>21</v>
      </c>
      <c r="D17" s="2">
        <v>23</v>
      </c>
      <c r="E17" s="2">
        <v>30</v>
      </c>
      <c r="F17" s="2">
        <f t="shared" si="0"/>
        <v>0.26190476190476192</v>
      </c>
      <c r="G17" s="2">
        <f t="shared" si="1"/>
        <v>0.13207547169811321</v>
      </c>
      <c r="H17" s="2">
        <f t="shared" si="2"/>
        <v>0.81110133057376144</v>
      </c>
      <c r="I17" s="2">
        <f t="shared" si="3"/>
        <v>0.1628347368197324</v>
      </c>
    </row>
    <row r="18" spans="1:9" x14ac:dyDescent="0.35">
      <c r="A18" s="2">
        <v>52</v>
      </c>
      <c r="B18" s="2">
        <v>5.5</v>
      </c>
      <c r="C18" s="2">
        <v>18.5</v>
      </c>
      <c r="D18" s="2">
        <v>22</v>
      </c>
      <c r="E18" s="2">
        <v>26</v>
      </c>
      <c r="F18" s="2">
        <f t="shared" si="0"/>
        <v>0.29729729729729731</v>
      </c>
      <c r="G18" s="2">
        <f t="shared" si="1"/>
        <v>8.3333333333333329E-2</v>
      </c>
      <c r="H18" s="2">
        <f t="shared" si="2"/>
        <v>0.8405933750763338</v>
      </c>
      <c r="I18" s="2">
        <f t="shared" si="3"/>
        <v>9.9136319419321953E-2</v>
      </c>
    </row>
    <row r="19" spans="1:9" x14ac:dyDescent="0.35">
      <c r="A19" s="2">
        <v>55</v>
      </c>
      <c r="B19" s="2">
        <v>5.5</v>
      </c>
      <c r="C19" s="2">
        <v>23</v>
      </c>
      <c r="D19" s="2">
        <v>27</v>
      </c>
      <c r="E19" s="2">
        <v>30</v>
      </c>
      <c r="F19" s="2">
        <f t="shared" si="0"/>
        <v>0.2391304347826087</v>
      </c>
      <c r="G19" s="2">
        <f t="shared" si="1"/>
        <v>5.2631578947368418E-2</v>
      </c>
      <c r="H19" s="2">
        <f t="shared" si="2"/>
        <v>0.78927872836505208</v>
      </c>
      <c r="I19" s="2">
        <f t="shared" si="3"/>
        <v>6.6683133671158051E-2</v>
      </c>
    </row>
    <row r="20" spans="1:9" x14ac:dyDescent="0.35">
      <c r="A20" s="2">
        <v>58</v>
      </c>
      <c r="B20" s="2">
        <v>5.5</v>
      </c>
      <c r="C20" s="2">
        <v>13</v>
      </c>
      <c r="D20" s="2">
        <v>16</v>
      </c>
      <c r="E20" s="2">
        <v>21</v>
      </c>
      <c r="F20" s="2">
        <f t="shared" si="0"/>
        <v>0.42307692307692307</v>
      </c>
      <c r="G20" s="2">
        <f t="shared" si="1"/>
        <v>0.13513513513513514</v>
      </c>
      <c r="H20" s="2">
        <f t="shared" si="2"/>
        <v>0.91413700136690612</v>
      </c>
      <c r="I20" s="2">
        <f t="shared" si="3"/>
        <v>0.14782809899727065</v>
      </c>
    </row>
    <row r="21" spans="1:9" x14ac:dyDescent="0.35">
      <c r="A21" s="2">
        <v>61</v>
      </c>
      <c r="B21" s="2">
        <v>13</v>
      </c>
      <c r="C21" s="2">
        <v>13</v>
      </c>
      <c r="D21" s="2">
        <v>20</v>
      </c>
      <c r="E21" s="2">
        <v>38</v>
      </c>
      <c r="F21" s="2">
        <f t="shared" si="0"/>
        <v>1</v>
      </c>
      <c r="G21" s="2">
        <f t="shared" si="1"/>
        <v>0.31034482758620691</v>
      </c>
      <c r="H21" s="2">
        <f t="shared" si="2"/>
        <v>1</v>
      </c>
      <c r="I21" s="2">
        <f t="shared" si="3"/>
        <v>0.31034482758620691</v>
      </c>
    </row>
    <row r="22" spans="1:9" x14ac:dyDescent="0.35">
      <c r="A22" s="2">
        <v>64</v>
      </c>
      <c r="B22" s="2">
        <v>2.5</v>
      </c>
      <c r="C22" s="2">
        <v>15.5</v>
      </c>
      <c r="D22" s="2">
        <v>12</v>
      </c>
      <c r="E22" s="2">
        <v>24</v>
      </c>
      <c r="F22" s="2">
        <f t="shared" si="0"/>
        <v>0.16129032258064516</v>
      </c>
      <c r="G22" s="2">
        <f t="shared" si="1"/>
        <v>0.33333333333333331</v>
      </c>
      <c r="H22" s="2">
        <f t="shared" si="2"/>
        <v>0.69166108877715171</v>
      </c>
      <c r="I22" s="2">
        <f t="shared" si="3"/>
        <v>0.48193159734149937</v>
      </c>
    </row>
    <row r="23" spans="1:9" x14ac:dyDescent="0.35">
      <c r="A23" s="2">
        <v>67</v>
      </c>
      <c r="B23" s="2">
        <v>2</v>
      </c>
      <c r="C23" s="2">
        <v>12</v>
      </c>
      <c r="D23" s="2">
        <v>8</v>
      </c>
      <c r="E23" s="2">
        <v>20</v>
      </c>
      <c r="F23" s="2">
        <f t="shared" si="0"/>
        <v>0.16666666666666666</v>
      </c>
      <c r="G23" s="2">
        <f t="shared" si="1"/>
        <v>0.42857142857142855</v>
      </c>
      <c r="H23" s="2">
        <f t="shared" si="2"/>
        <v>0.69985421222376509</v>
      </c>
      <c r="I23" s="2">
        <f t="shared" si="3"/>
        <v>0.61237243569579458</v>
      </c>
    </row>
    <row r="24" spans="1:9" x14ac:dyDescent="0.35">
      <c r="A24" s="2">
        <v>70</v>
      </c>
      <c r="B24" s="2">
        <v>2</v>
      </c>
      <c r="C24" s="2">
        <v>16</v>
      </c>
      <c r="D24" s="2">
        <v>10</v>
      </c>
      <c r="E24" s="2">
        <v>25</v>
      </c>
      <c r="F24" s="2">
        <f t="shared" si="0"/>
        <v>0.125</v>
      </c>
      <c r="G24" s="2">
        <f t="shared" si="1"/>
        <v>0.42857142857142855</v>
      </c>
      <c r="H24" s="2">
        <f t="shared" si="2"/>
        <v>0.62853936105470898</v>
      </c>
      <c r="I24" s="2">
        <f t="shared" si="3"/>
        <v>0.68185296757274216</v>
      </c>
    </row>
    <row r="25" spans="1:9" x14ac:dyDescent="0.35">
      <c r="A25" s="2">
        <v>73</v>
      </c>
      <c r="B25" s="2">
        <v>2</v>
      </c>
      <c r="C25" s="2">
        <v>14</v>
      </c>
      <c r="D25" s="2">
        <v>8</v>
      </c>
      <c r="E25" s="2">
        <v>24</v>
      </c>
      <c r="F25" s="2">
        <f t="shared" si="0"/>
        <v>0.14285714285714285</v>
      </c>
      <c r="G25" s="2">
        <f t="shared" si="1"/>
        <v>0.5</v>
      </c>
      <c r="H25" s="2">
        <f t="shared" si="2"/>
        <v>0.66143782776614768</v>
      </c>
      <c r="I25" s="2">
        <f t="shared" si="3"/>
        <v>0.7559289460184544</v>
      </c>
    </row>
    <row r="26" spans="1:9" x14ac:dyDescent="0.35">
      <c r="A26" s="2">
        <v>76</v>
      </c>
      <c r="B26" s="2">
        <v>4</v>
      </c>
      <c r="C26" s="2">
        <v>12.5</v>
      </c>
      <c r="D26" s="2">
        <v>7</v>
      </c>
      <c r="E26" s="2">
        <v>26</v>
      </c>
      <c r="F26" s="2">
        <f t="shared" si="0"/>
        <v>0.32</v>
      </c>
      <c r="G26" s="2">
        <f t="shared" si="1"/>
        <v>0.5757575757575758</v>
      </c>
      <c r="H26" s="2">
        <f t="shared" si="2"/>
        <v>0.85709912871096661</v>
      </c>
      <c r="I26" s="2">
        <f t="shared" si="3"/>
        <v>0.67175144212722027</v>
      </c>
    </row>
    <row r="27" spans="1:9" x14ac:dyDescent="0.3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5">
      <c r="A32" s="2"/>
      <c r="B32" s="2"/>
      <c r="C32" s="2"/>
      <c r="D32" s="2"/>
      <c r="E32" s="2"/>
      <c r="F32" s="2"/>
      <c r="G32" s="2"/>
      <c r="H32" s="2"/>
      <c r="I32" s="2"/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1" sqref="F11"/>
    </sheetView>
  </sheetViews>
  <sheetFormatPr defaultRowHeight="14.5" x14ac:dyDescent="0.35"/>
  <sheetData>
    <row r="1" spans="1:1" x14ac:dyDescent="0.35">
      <c r="A1">
        <v>632.79999999999995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поляризация</vt:lpstr>
      <vt:lpstr>длина когерентности</vt:lpstr>
      <vt:lpstr>длина волны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2026-04-10T10:35:20Z</dcterms:created>
  <dcterms:modified xsi:type="dcterms:W3CDTF">2026-05-22T20:43:12Z</dcterms:modified>
</cp:coreProperties>
</file>