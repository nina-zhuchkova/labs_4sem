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бакалавриат\4 semester (try 2)\лабы\4.4.3 гониометр\"/>
    </mc:Choice>
  </mc:AlternateContent>
  <bookViews>
    <workbookView xWindow="0" yWindow="0" windowWidth="15850" windowHeight="7260" activeTab="1"/>
  </bookViews>
  <sheets>
    <sheet name="параметры установки" sheetId="1" r:id="rId1"/>
    <sheet name="измерение спектра" sheetId="2" r:id="rId2"/>
    <sheet name="плохие измерения спектра" sheetId="4" r:id="rId3"/>
    <sheet name="оценка точности" sheetId="3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1" l="1"/>
  <c r="E7" i="1"/>
  <c r="E8" i="1"/>
</calcChain>
</file>

<file path=xl/sharedStrings.xml><?xml version="1.0" encoding="utf-8"?>
<sst xmlns="http://schemas.openxmlformats.org/spreadsheetml/2006/main" count="41" uniqueCount="26">
  <si>
    <t>начальный угол</t>
  </si>
  <si>
    <t>градусы</t>
  </si>
  <si>
    <t>минуты</t>
  </si>
  <si>
    <t>секунды</t>
  </si>
  <si>
    <t>номер линии</t>
  </si>
  <si>
    <t>k2</t>
  </si>
  <si>
    <t>k1</t>
  </si>
  <si>
    <t>ширина желтой щели</t>
  </si>
  <si>
    <t>градус</t>
  </si>
  <si>
    <t>минута</t>
  </si>
  <si>
    <t>секунда</t>
  </si>
  <si>
    <t>основание призмы a, cm</t>
  </si>
  <si>
    <t>призма 4,8,2</t>
  </si>
  <si>
    <t xml:space="preserve">погрешность гониометра </t>
  </si>
  <si>
    <t>5 секунд</t>
  </si>
  <si>
    <t>вторая серия измерений с учетом минимизации каждого угла</t>
  </si>
  <si>
    <t>начало эксперимента</t>
  </si>
  <si>
    <t>конец эксперимента</t>
  </si>
  <si>
    <t>все углы больше 180 -- это отрицателные углы</t>
  </si>
  <si>
    <t xml:space="preserve">углы нормалей к призме </t>
  </si>
  <si>
    <t>(измерение угла при вершине)</t>
  </si>
  <si>
    <t>погрешность, cm</t>
  </si>
  <si>
    <t>(более адекватная)</t>
  </si>
  <si>
    <t>ширина желтой щели 2</t>
  </si>
  <si>
    <t>lambda, nm</t>
  </si>
  <si>
    <t>абсолютные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</si>
</sst>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G12" sqref="G12"/>
    </sheetView>
  </sheetViews>
  <sheetFormatPr defaultRowHeight="14.5" x14ac:dyDescent="0.35"/>
  <cols>
    <col min="1" max="1" width="19.63281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</row>
    <row r="2" spans="1:6" x14ac:dyDescent="0.35">
      <c r="A2" t="s">
        <v>16</v>
      </c>
      <c r="B2">
        <v>0</v>
      </c>
      <c r="C2">
        <v>1</v>
      </c>
      <c r="D2">
        <v>0</v>
      </c>
      <c r="F2" t="s">
        <v>18</v>
      </c>
    </row>
    <row r="3" spans="1:6" x14ac:dyDescent="0.35">
      <c r="A3" t="s">
        <v>17</v>
      </c>
      <c r="B3">
        <v>0</v>
      </c>
      <c r="C3">
        <v>2</v>
      </c>
      <c r="D3">
        <v>10</v>
      </c>
    </row>
    <row r="5" spans="1:6" x14ac:dyDescent="0.35">
      <c r="A5" t="s">
        <v>19</v>
      </c>
    </row>
    <row r="6" spans="1:6" x14ac:dyDescent="0.35">
      <c r="A6" t="s">
        <v>20</v>
      </c>
      <c r="B6" t="s">
        <v>1</v>
      </c>
      <c r="C6" t="s">
        <v>2</v>
      </c>
      <c r="D6" t="s">
        <v>3</v>
      </c>
    </row>
    <row r="7" spans="1:6" x14ac:dyDescent="0.35">
      <c r="B7">
        <v>293</v>
      </c>
      <c r="C7">
        <v>17</v>
      </c>
      <c r="D7">
        <v>28</v>
      </c>
      <c r="E7">
        <f>(B7-360)*3600-C7*60 -D7</f>
        <v>-242248</v>
      </c>
    </row>
    <row r="8" spans="1:6" x14ac:dyDescent="0.35">
      <c r="B8">
        <v>50</v>
      </c>
      <c r="C8">
        <v>19</v>
      </c>
      <c r="D8">
        <v>6</v>
      </c>
      <c r="E8">
        <f>B8*3600+C8*60 +D8</f>
        <v>181146</v>
      </c>
    </row>
    <row r="9" spans="1:6" x14ac:dyDescent="0.35">
      <c r="E9">
        <f>E8-E7</f>
        <v>423394</v>
      </c>
    </row>
    <row r="10" spans="1:6" x14ac:dyDescent="0.35">
      <c r="A10" t="s">
        <v>11</v>
      </c>
      <c r="B10" t="s">
        <v>21</v>
      </c>
    </row>
    <row r="11" spans="1:6" x14ac:dyDescent="0.35">
      <c r="A11">
        <v>7.2</v>
      </c>
      <c r="B11">
        <v>0.1</v>
      </c>
    </row>
    <row r="13" spans="1:6" x14ac:dyDescent="0.35">
      <c r="A13" t="s">
        <v>12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tabSelected="1" workbookViewId="0">
      <selection activeCell="I16" sqref="I16"/>
    </sheetView>
  </sheetViews>
  <sheetFormatPr defaultRowHeight="14.5" x14ac:dyDescent="0.35"/>
  <cols>
    <col min="1" max="1" width="12.26953125" bestFit="1" customWidth="1"/>
    <col min="2" max="2" width="12.08984375" bestFit="1" customWidth="1"/>
  </cols>
  <sheetData>
    <row r="1" spans="1:6" x14ac:dyDescent="0.35">
      <c r="A1" t="s">
        <v>4</v>
      </c>
      <c r="B1" t="s">
        <v>24</v>
      </c>
      <c r="C1" t="s">
        <v>1</v>
      </c>
      <c r="D1" t="s">
        <v>2</v>
      </c>
      <c r="E1" t="s">
        <v>3</v>
      </c>
    </row>
    <row r="2" spans="1:6" x14ac:dyDescent="0.35">
      <c r="A2">
        <v>1</v>
      </c>
      <c r="B2">
        <v>579.1</v>
      </c>
      <c r="C2">
        <v>308</v>
      </c>
      <c r="D2">
        <v>3</v>
      </c>
      <c r="E2">
        <v>49</v>
      </c>
    </row>
    <row r="3" spans="1:6" x14ac:dyDescent="0.35">
      <c r="A3">
        <v>2</v>
      </c>
      <c r="B3">
        <v>577</v>
      </c>
      <c r="C3">
        <v>308</v>
      </c>
      <c r="D3">
        <v>2</v>
      </c>
      <c r="E3">
        <v>12</v>
      </c>
    </row>
    <row r="4" spans="1:6" x14ac:dyDescent="0.35">
      <c r="A4">
        <v>3</v>
      </c>
      <c r="B4">
        <v>546.1</v>
      </c>
      <c r="C4">
        <v>307</v>
      </c>
      <c r="D4">
        <v>42</v>
      </c>
      <c r="E4">
        <v>12</v>
      </c>
    </row>
    <row r="5" spans="1:6" x14ac:dyDescent="0.35">
      <c r="A5">
        <v>4</v>
      </c>
      <c r="B5">
        <v>491.6</v>
      </c>
      <c r="C5">
        <v>306</v>
      </c>
      <c r="D5">
        <v>55</v>
      </c>
      <c r="E5">
        <v>22</v>
      </c>
    </row>
    <row r="6" spans="1:6" x14ac:dyDescent="0.35">
      <c r="A6">
        <v>5</v>
      </c>
      <c r="B6">
        <v>435.8</v>
      </c>
      <c r="C6">
        <v>305</v>
      </c>
      <c r="D6">
        <v>42</v>
      </c>
      <c r="E6">
        <v>52</v>
      </c>
    </row>
    <row r="7" spans="1:6" x14ac:dyDescent="0.35">
      <c r="A7">
        <v>6</v>
      </c>
      <c r="B7">
        <v>404.7</v>
      </c>
      <c r="C7">
        <v>304</v>
      </c>
      <c r="D7">
        <v>45</v>
      </c>
      <c r="E7">
        <v>33</v>
      </c>
    </row>
    <row r="8" spans="1:6" x14ac:dyDescent="0.35">
      <c r="A8" t="s">
        <v>5</v>
      </c>
      <c r="B8">
        <v>623.4</v>
      </c>
      <c r="C8">
        <v>308</v>
      </c>
      <c r="D8">
        <v>26</v>
      </c>
      <c r="E8">
        <v>57</v>
      </c>
    </row>
    <row r="9" spans="1:6" x14ac:dyDescent="0.35">
      <c r="A9" t="s">
        <v>6</v>
      </c>
      <c r="B9">
        <v>690.7</v>
      </c>
      <c r="C9">
        <v>308</v>
      </c>
      <c r="D9">
        <v>53</v>
      </c>
      <c r="E9">
        <v>45</v>
      </c>
    </row>
    <row r="10" spans="1:6" x14ac:dyDescent="0.35">
      <c r="C10" t="s">
        <v>15</v>
      </c>
      <c r="F10" t="s">
        <v>25</v>
      </c>
    </row>
    <row r="11" spans="1:6" x14ac:dyDescent="0.35">
      <c r="C11" t="s">
        <v>22</v>
      </c>
    </row>
    <row r="14" spans="1:6" x14ac:dyDescent="0.35">
      <c r="A14" t="s">
        <v>13</v>
      </c>
    </row>
    <row r="15" spans="1:6" x14ac:dyDescent="0.35">
      <c r="A1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E16" sqref="E16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>
        <v>1</v>
      </c>
      <c r="B2">
        <v>308</v>
      </c>
      <c r="C2">
        <v>3</v>
      </c>
      <c r="D2">
        <v>42</v>
      </c>
    </row>
    <row r="3" spans="1:4" x14ac:dyDescent="0.35">
      <c r="A3">
        <v>2</v>
      </c>
      <c r="B3">
        <v>308</v>
      </c>
      <c r="C3">
        <v>2</v>
      </c>
      <c r="D3">
        <v>23</v>
      </c>
    </row>
    <row r="4" spans="1:4" x14ac:dyDescent="0.35">
      <c r="A4">
        <v>3</v>
      </c>
      <c r="B4">
        <v>307</v>
      </c>
      <c r="C4">
        <v>42</v>
      </c>
      <c r="D4">
        <v>23</v>
      </c>
    </row>
    <row r="5" spans="1:4" x14ac:dyDescent="0.35">
      <c r="A5">
        <v>4</v>
      </c>
      <c r="B5">
        <v>306</v>
      </c>
      <c r="C5">
        <v>54</v>
      </c>
      <c r="D5">
        <v>39</v>
      </c>
    </row>
    <row r="6" spans="1:4" x14ac:dyDescent="0.35">
      <c r="A6">
        <v>5</v>
      </c>
      <c r="B6">
        <v>305</v>
      </c>
      <c r="C6">
        <v>41</v>
      </c>
      <c r="D6">
        <v>5.5</v>
      </c>
    </row>
    <row r="7" spans="1:4" x14ac:dyDescent="0.35">
      <c r="A7">
        <v>6</v>
      </c>
      <c r="B7">
        <v>304</v>
      </c>
      <c r="C7">
        <v>40</v>
      </c>
      <c r="D7">
        <v>12</v>
      </c>
    </row>
    <row r="8" spans="1:4" x14ac:dyDescent="0.35">
      <c r="A8" t="s">
        <v>5</v>
      </c>
      <c r="B8">
        <v>308</v>
      </c>
      <c r="C8">
        <v>26</v>
      </c>
      <c r="D8">
        <v>54</v>
      </c>
    </row>
    <row r="9" spans="1:4" x14ac:dyDescent="0.35">
      <c r="A9" t="s">
        <v>6</v>
      </c>
      <c r="B9">
        <v>308</v>
      </c>
      <c r="C9">
        <v>53</v>
      </c>
      <c r="D9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selection activeCell="F18" sqref="F18"/>
    </sheetView>
  </sheetViews>
  <sheetFormatPr defaultRowHeight="14.5" x14ac:dyDescent="0.35"/>
  <sheetData>
    <row r="1" spans="1:3" x14ac:dyDescent="0.35">
      <c r="A1" t="s">
        <v>7</v>
      </c>
    </row>
    <row r="2" spans="1:3" x14ac:dyDescent="0.35">
      <c r="A2" t="s">
        <v>8</v>
      </c>
      <c r="B2" t="s">
        <v>9</v>
      </c>
      <c r="C2" t="s">
        <v>10</v>
      </c>
    </row>
    <row r="3" spans="1:3" x14ac:dyDescent="0.35">
      <c r="A3">
        <v>308</v>
      </c>
      <c r="B3">
        <v>2</v>
      </c>
      <c r="C3">
        <v>6</v>
      </c>
    </row>
    <row r="4" spans="1:3" x14ac:dyDescent="0.35">
      <c r="A4">
        <v>308</v>
      </c>
      <c r="B4">
        <v>2</v>
      </c>
      <c r="C4">
        <v>37</v>
      </c>
    </row>
    <row r="6" spans="1:3" x14ac:dyDescent="0.35">
      <c r="A6" t="s">
        <v>23</v>
      </c>
    </row>
    <row r="7" spans="1:3" x14ac:dyDescent="0.35">
      <c r="A7" t="s">
        <v>8</v>
      </c>
      <c r="B7" t="s">
        <v>9</v>
      </c>
      <c r="C7" t="s">
        <v>10</v>
      </c>
    </row>
    <row r="8" spans="1:3" x14ac:dyDescent="0.35">
      <c r="A8">
        <v>308</v>
      </c>
      <c r="B8">
        <v>3</v>
      </c>
      <c r="C8">
        <v>21</v>
      </c>
    </row>
    <row r="9" spans="1:3" x14ac:dyDescent="0.35">
      <c r="A9">
        <v>308</v>
      </c>
      <c r="B9">
        <v>3</v>
      </c>
      <c r="C9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параметры установки</vt:lpstr>
      <vt:lpstr>измерение спектра</vt:lpstr>
      <vt:lpstr>плохие измерения спектра</vt:lpstr>
      <vt:lpstr>оценка точности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2026-03-06T12:55:19Z</dcterms:created>
  <dcterms:modified xsi:type="dcterms:W3CDTF">2026-03-15T19:00:36Z</dcterms:modified>
</cp:coreProperties>
</file>