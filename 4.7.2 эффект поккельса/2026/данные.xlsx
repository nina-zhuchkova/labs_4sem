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бакалавриат\4 semester (try 2)\лабы\4.7.2 эффект поккельса\2026\"/>
    </mc:Choice>
  </mc:AlternateContent>
  <bookViews>
    <workbookView xWindow="0" yWindow="0" windowWidth="19200" windowHeight="7310" activeTab="1"/>
  </bookViews>
  <sheets>
    <sheet name="параметры" sheetId="1" r:id="rId1"/>
    <sheet name="U_lambda" sheetId="2" r:id="rId2"/>
    <sheet name="кольца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0" i="2" l="1"/>
  <c r="E31" i="2"/>
  <c r="E30" i="2"/>
  <c r="D30" i="2"/>
  <c r="C35" i="2"/>
  <c r="C34" i="2"/>
  <c r="C33" i="2"/>
  <c r="C32" i="2"/>
  <c r="C31" i="2"/>
  <c r="C30" i="2"/>
  <c r="B35" i="2"/>
  <c r="B34" i="2"/>
  <c r="B33" i="2"/>
  <c r="B32" i="2"/>
  <c r="B31" i="2"/>
  <c r="B30" i="2"/>
  <c r="G21" i="2"/>
  <c r="E22" i="2"/>
  <c r="E21" i="2"/>
  <c r="D21" i="2"/>
  <c r="E16" i="2"/>
  <c r="C25" i="2" s="1"/>
  <c r="E17" i="2"/>
  <c r="C26" i="2" s="1"/>
  <c r="E15" i="2"/>
  <c r="C16" i="2"/>
  <c r="C22" i="2" s="1"/>
  <c r="C17" i="2"/>
  <c r="C23" i="2" s="1"/>
  <c r="C15" i="2"/>
  <c r="C21" i="2" s="1"/>
  <c r="C24" i="2"/>
  <c r="B26" i="2"/>
  <c r="B25" i="2"/>
  <c r="B24" i="2"/>
  <c r="B23" i="2"/>
  <c r="B22" i="2"/>
  <c r="B21" i="2"/>
  <c r="I2" i="2"/>
  <c r="F16" i="2"/>
  <c r="F17" i="2"/>
  <c r="F15" i="2"/>
  <c r="B16" i="2"/>
  <c r="D16" i="2"/>
  <c r="B17" i="2"/>
  <c r="D17" i="2"/>
  <c r="D15" i="2"/>
  <c r="B15" i="2"/>
  <c r="E12" i="2"/>
  <c r="E13" i="2"/>
  <c r="D12" i="2"/>
  <c r="D13" i="2"/>
  <c r="E11" i="2"/>
  <c r="D11" i="2"/>
  <c r="C12" i="2"/>
  <c r="C13" i="2"/>
  <c r="B12" i="2"/>
  <c r="B13" i="2"/>
  <c r="C11" i="2"/>
  <c r="B11" i="2"/>
  <c r="B8" i="2"/>
  <c r="C8" i="2"/>
  <c r="B9" i="2"/>
  <c r="C9" i="2"/>
  <c r="B7" i="2"/>
  <c r="D8" i="2"/>
  <c r="E8" i="2"/>
  <c r="F8" i="2"/>
  <c r="G8" i="2"/>
  <c r="D9" i="2"/>
  <c r="E9" i="2"/>
  <c r="F9" i="2"/>
  <c r="G9" i="2"/>
  <c r="D7" i="2"/>
  <c r="E7" i="2"/>
  <c r="F7" i="2"/>
  <c r="G7" i="2"/>
  <c r="C7" i="2"/>
  <c r="H2" i="3" l="1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G2" i="3"/>
  <c r="F2" i="3"/>
  <c r="E2" i="3"/>
</calcChain>
</file>

<file path=xl/sharedStrings.xml><?xml version="1.0" encoding="utf-8"?>
<sst xmlns="http://schemas.openxmlformats.org/spreadsheetml/2006/main" count="42" uniqueCount="35">
  <si>
    <t>lambda, мкм</t>
  </si>
  <si>
    <t>n_0</t>
  </si>
  <si>
    <t>L_0, cm</t>
  </si>
  <si>
    <t>блок питания</t>
  </si>
  <si>
    <t>k = 1,5 кв/100дел</t>
  </si>
  <si>
    <t>n</t>
  </si>
  <si>
    <t>U_пост_перп, дел</t>
  </si>
  <si>
    <t>U_перем_перп, дел</t>
  </si>
  <si>
    <t>U_пост_пар, дел</t>
  </si>
  <si>
    <t>U_перем_пар, дел</t>
  </si>
  <si>
    <t>интенсивность сохраняется при круговой поляризации</t>
  </si>
  <si>
    <t>m</t>
  </si>
  <si>
    <t>r_min, cm</t>
  </si>
  <si>
    <t>r_max, cm</t>
  </si>
  <si>
    <t>delta r, cm</t>
  </si>
  <si>
    <t>l, cm</t>
  </si>
  <si>
    <t>длина кристалла</t>
  </si>
  <si>
    <t>расстояние до ближайшего к лазеру края кристалла от экрана</t>
  </si>
  <si>
    <t>r_min, pix</t>
  </si>
  <si>
    <t>k, cm/pix</t>
  </si>
  <si>
    <t>delta r, pix</t>
  </si>
  <si>
    <t>r_max, pix</t>
  </si>
  <si>
    <t>delta</t>
  </si>
  <si>
    <t>всякая страшная обработка</t>
  </si>
  <si>
    <t>U_перп, В</t>
  </si>
  <si>
    <t>U_пар, В</t>
  </si>
  <si>
    <t>delta_U_пар, В</t>
  </si>
  <si>
    <t>U, В</t>
  </si>
  <si>
    <t>выборка полуволнового напряжения на глаз</t>
  </si>
  <si>
    <t>delta_U, В</t>
  </si>
  <si>
    <t>U_ср, В</t>
  </si>
  <si>
    <t>статист погр</t>
  </si>
  <si>
    <t>приборная погр</t>
  </si>
  <si>
    <t>суммарная погрешность</t>
  </si>
  <si>
    <t>выборка полуволнового напряжения по фотодатчику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</si>
</sst>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D9" sqref="D9"/>
    </sheetView>
  </sheetViews>
  <sheetFormatPr defaultRowHeight="14.5" x14ac:dyDescent="0.35"/>
  <cols>
    <col min="1" max="1" width="11.6328125" bestFit="1" customWidth="1"/>
    <col min="3" max="3" width="37.7265625" bestFit="1" customWidth="1"/>
    <col min="4" max="4" width="15.453125" bestFit="1" customWidth="1"/>
    <col min="5" max="5" width="15.3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15</v>
      </c>
    </row>
    <row r="2" spans="1:5" x14ac:dyDescent="0.35">
      <c r="A2" s="1">
        <v>0.63</v>
      </c>
      <c r="B2" s="1">
        <v>2.29</v>
      </c>
      <c r="C2">
        <v>76</v>
      </c>
      <c r="D2" t="s">
        <v>4</v>
      </c>
      <c r="E2">
        <v>3</v>
      </c>
    </row>
    <row r="3" spans="1:5" x14ac:dyDescent="0.35">
      <c r="C3" t="s">
        <v>17</v>
      </c>
      <c r="E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abSelected="1" topLeftCell="A17" workbookViewId="0">
      <selection activeCell="G34" sqref="G34"/>
    </sheetView>
  </sheetViews>
  <sheetFormatPr defaultRowHeight="14.5" x14ac:dyDescent="0.35"/>
  <cols>
    <col min="1" max="1" width="24.90625" bestFit="1" customWidth="1"/>
    <col min="2" max="2" width="12" customWidth="1"/>
    <col min="3" max="3" width="49" bestFit="1" customWidth="1"/>
    <col min="4" max="4" width="15" bestFit="1" customWidth="1"/>
    <col min="5" max="5" width="17.81640625" bestFit="1" customWidth="1"/>
    <col min="6" max="6" width="15" bestFit="1" customWidth="1"/>
    <col min="7" max="7" width="16.7265625" bestFit="1" customWidth="1"/>
  </cols>
  <sheetData>
    <row r="1" spans="1:9" x14ac:dyDescent="0.35">
      <c r="A1" t="s">
        <v>5</v>
      </c>
      <c r="B1" s="4" t="s">
        <v>6</v>
      </c>
      <c r="C1" s="4"/>
      <c r="D1" s="4" t="s">
        <v>8</v>
      </c>
      <c r="E1" s="4"/>
      <c r="F1" t="s">
        <v>7</v>
      </c>
      <c r="G1" t="s">
        <v>9</v>
      </c>
      <c r="I1" t="s">
        <v>22</v>
      </c>
    </row>
    <row r="2" spans="1:9" x14ac:dyDescent="0.35">
      <c r="A2">
        <v>1</v>
      </c>
      <c r="B2">
        <v>24</v>
      </c>
      <c r="C2">
        <v>36</v>
      </c>
      <c r="D2">
        <v>26</v>
      </c>
      <c r="E2">
        <v>36</v>
      </c>
      <c r="F2">
        <v>29</v>
      </c>
      <c r="G2">
        <v>29</v>
      </c>
      <c r="I2">
        <f>1.5/100*1000</f>
        <v>15</v>
      </c>
    </row>
    <row r="3" spans="1:9" x14ac:dyDescent="0.35">
      <c r="A3">
        <v>2</v>
      </c>
      <c r="B3">
        <v>56</v>
      </c>
      <c r="C3">
        <v>62</v>
      </c>
      <c r="D3">
        <v>50</v>
      </c>
      <c r="E3">
        <v>70</v>
      </c>
      <c r="F3">
        <v>58</v>
      </c>
      <c r="G3">
        <v>58</v>
      </c>
    </row>
    <row r="4" spans="1:9" x14ac:dyDescent="0.35">
      <c r="A4">
        <v>3</v>
      </c>
      <c r="B4">
        <v>84</v>
      </c>
      <c r="C4">
        <v>94</v>
      </c>
      <c r="D4">
        <v>88</v>
      </c>
      <c r="E4">
        <v>98</v>
      </c>
      <c r="F4">
        <v>91</v>
      </c>
      <c r="G4">
        <v>91</v>
      </c>
    </row>
    <row r="5" spans="1:9" x14ac:dyDescent="0.35">
      <c r="C5" t="s">
        <v>10</v>
      </c>
    </row>
    <row r="6" spans="1:9" x14ac:dyDescent="0.35">
      <c r="A6" t="s">
        <v>23</v>
      </c>
    </row>
    <row r="7" spans="1:9" x14ac:dyDescent="0.35">
      <c r="B7">
        <f>1.5 /100*B2</f>
        <v>0.36</v>
      </c>
      <c r="C7">
        <f>1.5 /100*C2</f>
        <v>0.54</v>
      </c>
      <c r="D7">
        <f t="shared" ref="D7:G7" si="0">1.5 /100*D2</f>
        <v>0.39</v>
      </c>
      <c r="E7">
        <f t="shared" si="0"/>
        <v>0.54</v>
      </c>
      <c r="F7">
        <f t="shared" si="0"/>
        <v>0.435</v>
      </c>
      <c r="G7">
        <f t="shared" si="0"/>
        <v>0.435</v>
      </c>
    </row>
    <row r="8" spans="1:9" x14ac:dyDescent="0.35">
      <c r="B8">
        <f t="shared" ref="B8:C8" si="1">1.5 /100*B3</f>
        <v>0.84</v>
      </c>
      <c r="C8">
        <f t="shared" si="1"/>
        <v>0.92999999999999994</v>
      </c>
      <c r="D8">
        <f t="shared" ref="C8:G8" si="2">1.5 /100*D3</f>
        <v>0.75</v>
      </c>
      <c r="E8">
        <f t="shared" si="2"/>
        <v>1.05</v>
      </c>
      <c r="F8">
        <f t="shared" si="2"/>
        <v>0.87</v>
      </c>
      <c r="G8">
        <f t="shared" si="2"/>
        <v>0.87</v>
      </c>
    </row>
    <row r="9" spans="1:9" x14ac:dyDescent="0.35">
      <c r="B9">
        <f t="shared" ref="B9:C9" si="3">1.5 /100*B4</f>
        <v>1.26</v>
      </c>
      <c r="C9">
        <f t="shared" si="3"/>
        <v>1.41</v>
      </c>
      <c r="D9">
        <f t="shared" ref="C9:G9" si="4">1.5 /100*D4</f>
        <v>1.3199999999999998</v>
      </c>
      <c r="E9">
        <f t="shared" si="4"/>
        <v>1.47</v>
      </c>
      <c r="F9">
        <f t="shared" si="4"/>
        <v>1.365</v>
      </c>
      <c r="G9">
        <f t="shared" si="4"/>
        <v>1.365</v>
      </c>
    </row>
    <row r="11" spans="1:9" x14ac:dyDescent="0.35">
      <c r="B11">
        <f>(B7+C7)/2</f>
        <v>0.45</v>
      </c>
      <c r="C11">
        <f>(C7-B7)/2</f>
        <v>9.0000000000000024E-2</v>
      </c>
      <c r="D11">
        <f>(D7+E7)/2</f>
        <v>0.46500000000000002</v>
      </c>
      <c r="E11">
        <f>(E7-D7)/2</f>
        <v>7.5000000000000011E-2</v>
      </c>
    </row>
    <row r="12" spans="1:9" x14ac:dyDescent="0.35">
      <c r="B12">
        <f t="shared" ref="B12:B13" si="5">(B8+C8)/2</f>
        <v>0.88500000000000001</v>
      </c>
      <c r="C12">
        <f t="shared" ref="C12:C13" si="6">(C8-B8)/2</f>
        <v>4.4999999999999984E-2</v>
      </c>
      <c r="D12">
        <f t="shared" ref="D12:D13" si="7">(D8+E8)/2</f>
        <v>0.9</v>
      </c>
      <c r="E12">
        <f t="shared" ref="E12:E13" si="8">(E8-D8)/2</f>
        <v>0.15000000000000002</v>
      </c>
    </row>
    <row r="13" spans="1:9" x14ac:dyDescent="0.35">
      <c r="B13">
        <f t="shared" si="5"/>
        <v>1.335</v>
      </c>
      <c r="C13">
        <f t="shared" si="6"/>
        <v>7.4999999999999956E-2</v>
      </c>
      <c r="D13">
        <f t="shared" si="7"/>
        <v>1.395</v>
      </c>
      <c r="E13">
        <f t="shared" si="8"/>
        <v>7.5000000000000067E-2</v>
      </c>
    </row>
    <row r="14" spans="1:9" x14ac:dyDescent="0.35">
      <c r="B14" t="s">
        <v>24</v>
      </c>
      <c r="C14" t="s">
        <v>26</v>
      </c>
      <c r="D14" t="s">
        <v>25</v>
      </c>
      <c r="E14" t="s">
        <v>26</v>
      </c>
    </row>
    <row r="15" spans="1:9" x14ac:dyDescent="0.35">
      <c r="B15" s="3">
        <f>B11*1000</f>
        <v>450</v>
      </c>
      <c r="C15" s="3">
        <f>C11*1000+$I$2</f>
        <v>105.00000000000003</v>
      </c>
      <c r="D15" s="3">
        <f t="shared" ref="C15:E15" si="9">D11*1000</f>
        <v>465</v>
      </c>
      <c r="E15" s="3">
        <f>E11*1000+$I$2</f>
        <v>90.000000000000014</v>
      </c>
      <c r="F15" s="3">
        <f>F7*1000</f>
        <v>435</v>
      </c>
      <c r="G15" s="3"/>
      <c r="I15" s="3"/>
    </row>
    <row r="16" spans="1:9" x14ac:dyDescent="0.35">
      <c r="B16" s="3">
        <f t="shared" ref="B16:E16" si="10">B12*1000</f>
        <v>885</v>
      </c>
      <c r="C16" s="3">
        <f t="shared" ref="C16:C17" si="11">C12*1000+$I$2</f>
        <v>59.999999999999986</v>
      </c>
      <c r="D16" s="3">
        <f t="shared" si="10"/>
        <v>900</v>
      </c>
      <c r="E16" s="3">
        <f t="shared" ref="E16:E17" si="12">E12*1000+$I$2</f>
        <v>165.00000000000003</v>
      </c>
      <c r="F16" s="3">
        <f t="shared" ref="F16:G16" si="13">F8*1000</f>
        <v>870</v>
      </c>
      <c r="G16" s="3"/>
    </row>
    <row r="17" spans="2:7" x14ac:dyDescent="0.35">
      <c r="B17" s="3">
        <f t="shared" ref="B17:E17" si="14">B13*1000</f>
        <v>1335</v>
      </c>
      <c r="C17" s="3">
        <f t="shared" si="11"/>
        <v>89.999999999999957</v>
      </c>
      <c r="D17" s="3">
        <f t="shared" si="14"/>
        <v>1395</v>
      </c>
      <c r="E17" s="3">
        <f t="shared" si="12"/>
        <v>90.000000000000071</v>
      </c>
      <c r="F17" s="3">
        <f t="shared" ref="F17:G17" si="15">F9*1000</f>
        <v>1365</v>
      </c>
      <c r="G17" s="3"/>
    </row>
    <row r="18" spans="2:7" x14ac:dyDescent="0.35">
      <c r="G18" s="3"/>
    </row>
    <row r="19" spans="2:7" x14ac:dyDescent="0.35">
      <c r="B19" s="4" t="s">
        <v>28</v>
      </c>
      <c r="C19" s="4"/>
      <c r="G19" s="3"/>
    </row>
    <row r="20" spans="2:7" x14ac:dyDescent="0.35">
      <c r="B20" s="3" t="s">
        <v>27</v>
      </c>
      <c r="C20" t="s">
        <v>29</v>
      </c>
      <c r="D20" t="s">
        <v>30</v>
      </c>
      <c r="E20" t="s">
        <v>31</v>
      </c>
      <c r="F20" t="s">
        <v>32</v>
      </c>
      <c r="G20" s="3" t="s">
        <v>33</v>
      </c>
    </row>
    <row r="21" spans="2:7" x14ac:dyDescent="0.35">
      <c r="B21" s="3">
        <f>B15</f>
        <v>450</v>
      </c>
      <c r="C21" s="3">
        <f>C15</f>
        <v>105.00000000000003</v>
      </c>
      <c r="D21" s="3">
        <f>AVERAGE(B21:B26)</f>
        <v>452.91666666666669</v>
      </c>
      <c r="E21">
        <f>_xlfn.VAR.S(B21:B26)</f>
        <v>96.041666666666671</v>
      </c>
      <c r="F21">
        <v>28</v>
      </c>
      <c r="G21">
        <f>SQRT(F21*F21+E22*E22)</f>
        <v>29.665496231593139</v>
      </c>
    </row>
    <row r="22" spans="2:7" x14ac:dyDescent="0.35">
      <c r="B22">
        <f>B16/2</f>
        <v>442.5</v>
      </c>
      <c r="C22">
        <f>C16/2</f>
        <v>29.999999999999993</v>
      </c>
      <c r="E22">
        <f>SQRT(E21)</f>
        <v>9.8000850336446916</v>
      </c>
    </row>
    <row r="23" spans="2:7" x14ac:dyDescent="0.35">
      <c r="B23">
        <f>B17/3</f>
        <v>445</v>
      </c>
      <c r="C23">
        <f>C17/3</f>
        <v>29.999999999999986</v>
      </c>
    </row>
    <row r="24" spans="2:7" x14ac:dyDescent="0.35">
      <c r="B24" s="3">
        <f>D15</f>
        <v>465</v>
      </c>
      <c r="C24" s="3">
        <f>E15</f>
        <v>90.000000000000014</v>
      </c>
    </row>
    <row r="25" spans="2:7" x14ac:dyDescent="0.35">
      <c r="B25">
        <f>D16/2</f>
        <v>450</v>
      </c>
      <c r="C25">
        <f>E16/2</f>
        <v>82.500000000000014</v>
      </c>
    </row>
    <row r="26" spans="2:7" x14ac:dyDescent="0.35">
      <c r="B26">
        <f>D17/3</f>
        <v>465</v>
      </c>
      <c r="C26">
        <f>E17/3</f>
        <v>30.000000000000025</v>
      </c>
    </row>
    <row r="28" spans="2:7" x14ac:dyDescent="0.35">
      <c r="B28" s="4" t="s">
        <v>34</v>
      </c>
      <c r="C28" s="4"/>
    </row>
    <row r="29" spans="2:7" x14ac:dyDescent="0.35">
      <c r="B29" s="3" t="s">
        <v>27</v>
      </c>
      <c r="C29" t="s">
        <v>29</v>
      </c>
      <c r="D29" t="s">
        <v>30</v>
      </c>
      <c r="E29" t="s">
        <v>31</v>
      </c>
      <c r="F29" t="s">
        <v>32</v>
      </c>
      <c r="G29" s="3" t="s">
        <v>33</v>
      </c>
    </row>
    <row r="30" spans="2:7" x14ac:dyDescent="0.35">
      <c r="B30" s="3">
        <f>F15</f>
        <v>435</v>
      </c>
      <c r="C30">
        <f>15</f>
        <v>15</v>
      </c>
      <c r="D30" s="3">
        <f>AVERAGE(B30:B35)</f>
        <v>441.66666666666669</v>
      </c>
      <c r="E30">
        <f>_xlfn.VAR.S(B30:B35)</f>
        <v>106.66666666666666</v>
      </c>
      <c r="F30">
        <v>4</v>
      </c>
      <c r="G30">
        <f>SQRT(E31*E31+F30*F30)</f>
        <v>11.075498483890765</v>
      </c>
    </row>
    <row r="31" spans="2:7" x14ac:dyDescent="0.35">
      <c r="B31">
        <f>F16/2</f>
        <v>435</v>
      </c>
      <c r="C31">
        <f>15/2</f>
        <v>7.5</v>
      </c>
      <c r="E31">
        <f>SQRT(E30)</f>
        <v>10.327955589886445</v>
      </c>
    </row>
    <row r="32" spans="2:7" x14ac:dyDescent="0.35">
      <c r="B32">
        <f>F17/3</f>
        <v>455</v>
      </c>
      <c r="C32">
        <f>15/3</f>
        <v>5</v>
      </c>
    </row>
    <row r="33" spans="2:3" x14ac:dyDescent="0.35">
      <c r="B33" s="3">
        <f>F15</f>
        <v>435</v>
      </c>
      <c r="C33">
        <f>15</f>
        <v>15</v>
      </c>
    </row>
    <row r="34" spans="2:3" x14ac:dyDescent="0.35">
      <c r="B34">
        <f>F16/2</f>
        <v>435</v>
      </c>
      <c r="C34">
        <f>15/2</f>
        <v>7.5</v>
      </c>
    </row>
    <row r="35" spans="2:3" x14ac:dyDescent="0.35">
      <c r="B35">
        <f>F17/3</f>
        <v>455</v>
      </c>
      <c r="C35">
        <f>15/3</f>
        <v>5</v>
      </c>
    </row>
  </sheetData>
  <mergeCells count="4">
    <mergeCell ref="B1:C1"/>
    <mergeCell ref="D1:E1"/>
    <mergeCell ref="B19:C19"/>
    <mergeCell ref="B28:C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H12" sqref="H12"/>
    </sheetView>
  </sheetViews>
  <sheetFormatPr defaultRowHeight="14.5" x14ac:dyDescent="0.35"/>
  <cols>
    <col min="2" max="2" width="9.453125" bestFit="1" customWidth="1"/>
    <col min="3" max="3" width="9.81640625" bestFit="1" customWidth="1"/>
    <col min="4" max="4" width="9.90625" bestFit="1" customWidth="1"/>
    <col min="5" max="5" width="13.36328125" bestFit="1" customWidth="1"/>
    <col min="6" max="7" width="9.26953125" bestFit="1" customWidth="1"/>
    <col min="8" max="8" width="10.26953125" bestFit="1" customWidth="1"/>
  </cols>
  <sheetData>
    <row r="1" spans="1:8" x14ac:dyDescent="0.35">
      <c r="A1" t="s">
        <v>11</v>
      </c>
      <c r="B1" t="s">
        <v>18</v>
      </c>
      <c r="C1" t="s">
        <v>21</v>
      </c>
      <c r="D1" t="s">
        <v>20</v>
      </c>
      <c r="E1" t="s">
        <v>19</v>
      </c>
      <c r="F1" t="s">
        <v>12</v>
      </c>
      <c r="G1" t="s">
        <v>13</v>
      </c>
      <c r="H1" t="s">
        <v>14</v>
      </c>
    </row>
    <row r="2" spans="1:8" x14ac:dyDescent="0.35">
      <c r="A2">
        <v>1</v>
      </c>
      <c r="B2" s="3">
        <v>131</v>
      </c>
      <c r="C2">
        <v>156</v>
      </c>
      <c r="D2">
        <v>5</v>
      </c>
      <c r="E2">
        <f>15.5/830</f>
        <v>1.8674698795180723E-2</v>
      </c>
      <c r="F2" s="2">
        <f>$E$2*B2</f>
        <v>2.4463855421686747</v>
      </c>
      <c r="G2" s="2">
        <f>$E$2*C2</f>
        <v>2.9132530120481928</v>
      </c>
      <c r="H2" s="2">
        <f>D2*E2</f>
        <v>9.337349397590361E-2</v>
      </c>
    </row>
    <row r="3" spans="1:8" x14ac:dyDescent="0.35">
      <c r="A3">
        <v>2</v>
      </c>
      <c r="B3">
        <v>192</v>
      </c>
      <c r="C3">
        <v>213</v>
      </c>
      <c r="F3" s="2">
        <f t="shared" ref="F3:F10" si="0">$E$2*B3</f>
        <v>3.5855421686746989</v>
      </c>
      <c r="G3" s="2">
        <f t="shared" ref="G3:G10" si="1">$E$2*C3</f>
        <v>3.9777108433734942</v>
      </c>
    </row>
    <row r="4" spans="1:8" x14ac:dyDescent="0.35">
      <c r="A4">
        <v>3</v>
      </c>
      <c r="B4">
        <v>240</v>
      </c>
      <c r="C4">
        <v>256</v>
      </c>
      <c r="F4" s="2">
        <f t="shared" si="0"/>
        <v>4.4819277108433733</v>
      </c>
      <c r="G4" s="2">
        <f t="shared" si="1"/>
        <v>4.7807228915662652</v>
      </c>
    </row>
    <row r="5" spans="1:8" x14ac:dyDescent="0.35">
      <c r="A5">
        <v>4</v>
      </c>
      <c r="B5">
        <v>278</v>
      </c>
      <c r="C5">
        <v>292</v>
      </c>
      <c r="F5" s="2">
        <f t="shared" si="0"/>
        <v>5.1915662650602412</v>
      </c>
      <c r="G5" s="2">
        <f t="shared" si="1"/>
        <v>5.4530120481927709</v>
      </c>
    </row>
    <row r="6" spans="1:8" x14ac:dyDescent="0.35">
      <c r="A6">
        <v>5</v>
      </c>
      <c r="B6">
        <v>312</v>
      </c>
      <c r="C6">
        <v>326</v>
      </c>
      <c r="F6" s="2">
        <f t="shared" si="0"/>
        <v>5.8265060240963855</v>
      </c>
      <c r="G6" s="2">
        <f t="shared" si="1"/>
        <v>6.087951807228916</v>
      </c>
    </row>
    <row r="7" spans="1:8" x14ac:dyDescent="0.35">
      <c r="A7">
        <v>6</v>
      </c>
      <c r="B7">
        <v>341</v>
      </c>
      <c r="C7">
        <v>355</v>
      </c>
      <c r="F7" s="2">
        <f t="shared" si="0"/>
        <v>6.3680722891566264</v>
      </c>
      <c r="G7" s="2">
        <f t="shared" si="1"/>
        <v>6.6295180722891569</v>
      </c>
    </row>
    <row r="8" spans="1:8" x14ac:dyDescent="0.35">
      <c r="A8">
        <v>7</v>
      </c>
      <c r="B8">
        <v>370</v>
      </c>
      <c r="C8">
        <v>380</v>
      </c>
      <c r="F8" s="2">
        <f t="shared" si="0"/>
        <v>6.9096385542168672</v>
      </c>
      <c r="G8" s="2">
        <f t="shared" si="1"/>
        <v>7.096385542168675</v>
      </c>
    </row>
    <row r="9" spans="1:8" x14ac:dyDescent="0.35">
      <c r="A9">
        <v>8</v>
      </c>
      <c r="B9">
        <v>397</v>
      </c>
      <c r="C9">
        <v>408</v>
      </c>
      <c r="F9" s="2">
        <f t="shared" si="0"/>
        <v>7.4138554216867476</v>
      </c>
      <c r="G9" s="2">
        <f t="shared" si="1"/>
        <v>7.6192771084337352</v>
      </c>
    </row>
    <row r="10" spans="1:8" x14ac:dyDescent="0.35">
      <c r="A10">
        <v>9</v>
      </c>
      <c r="B10">
        <v>420</v>
      </c>
      <c r="C10">
        <v>429</v>
      </c>
      <c r="F10" s="2">
        <f t="shared" si="0"/>
        <v>7.8433734939759034</v>
      </c>
      <c r="G10" s="2">
        <f t="shared" si="1"/>
        <v>8.0114457831325296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параметры</vt:lpstr>
      <vt:lpstr>U_lambda</vt:lpstr>
      <vt:lpstr>кольца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2025-02-06T11:22:18Z</dcterms:created>
  <dcterms:modified xsi:type="dcterms:W3CDTF">2026-03-12T18:29:01Z</dcterms:modified>
</cp:coreProperties>
</file>