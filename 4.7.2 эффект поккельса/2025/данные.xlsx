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бакалавриат\4 semester\оптика\лабы\эффект поккельса\"/>
    </mc:Choice>
  </mc:AlternateContent>
  <bookViews>
    <workbookView xWindow="0" yWindow="0" windowWidth="19200" windowHeight="7310" activeTab="1"/>
  </bookViews>
  <sheets>
    <sheet name="параметры" sheetId="1" r:id="rId1"/>
    <sheet name="U_lambda" sheetId="2" r:id="rId2"/>
    <sheet name="кольца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2" l="1"/>
  <c r="G10" i="2"/>
  <c r="F11" i="2"/>
  <c r="B11" i="2"/>
  <c r="C11" i="2" s="1"/>
  <c r="F10" i="2"/>
  <c r="F7" i="2"/>
  <c r="G7" i="2"/>
  <c r="F8" i="2"/>
  <c r="G8" i="2"/>
  <c r="F6" i="2"/>
  <c r="G6" i="2"/>
  <c r="C10" i="2"/>
  <c r="B10" i="2"/>
  <c r="E7" i="2"/>
  <c r="E8" i="2"/>
  <c r="D7" i="2"/>
  <c r="D8" i="2"/>
  <c r="C7" i="2"/>
  <c r="C8" i="2"/>
  <c r="B7" i="2"/>
  <c r="B8" i="2"/>
  <c r="C6" i="2"/>
  <c r="D6" i="2"/>
  <c r="E6" i="2"/>
  <c r="B6" i="2"/>
  <c r="C2" i="3" l="1"/>
  <c r="B2" i="3"/>
</calcChain>
</file>

<file path=xl/sharedStrings.xml><?xml version="1.0" encoding="utf-8"?>
<sst xmlns="http://schemas.openxmlformats.org/spreadsheetml/2006/main" count="17" uniqueCount="17">
  <si>
    <t>lambda, мкм</t>
  </si>
  <si>
    <t>n_0</t>
  </si>
  <si>
    <t>L_0, cm</t>
  </si>
  <si>
    <t>расстояние до ближайшего к лазеру краю</t>
  </si>
  <si>
    <t>блок питания</t>
  </si>
  <si>
    <t>k = 1,5 кв/100дел</t>
  </si>
  <si>
    <t>n</t>
  </si>
  <si>
    <t>U_пост_перп, дел</t>
  </si>
  <si>
    <t>U_перем_перп, дел</t>
  </si>
  <si>
    <t>U_пост_пар, дел</t>
  </si>
  <si>
    <t>U_перем_пар, дел</t>
  </si>
  <si>
    <t>интенсивность сохраняется при круговой поляризации</t>
  </si>
  <si>
    <t>m</t>
  </si>
  <si>
    <t>r_min, cm</t>
  </si>
  <si>
    <t>r_max, cm</t>
  </si>
  <si>
    <t>delta r, cm</t>
  </si>
  <si>
    <t>U_gjcn_пар, 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</si>
</sst>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C12" sqref="C12"/>
    </sheetView>
  </sheetViews>
  <sheetFormatPr defaultRowHeight="14.5" x14ac:dyDescent="0.35"/>
  <cols>
    <col min="1" max="1" width="11.6328125" bestFit="1" customWidth="1"/>
    <col min="3" max="3" width="37.7265625" bestFit="1" customWidth="1"/>
    <col min="4" max="4" width="15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4</v>
      </c>
    </row>
    <row r="2" spans="1:4" x14ac:dyDescent="0.35">
      <c r="A2" s="1">
        <v>0.63</v>
      </c>
      <c r="B2" s="1">
        <v>2.29</v>
      </c>
      <c r="C2">
        <v>79</v>
      </c>
      <c r="D2" t="s">
        <v>5</v>
      </c>
    </row>
    <row r="3" spans="1:4" x14ac:dyDescent="0.35">
      <c r="C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topLeftCell="C1" workbookViewId="0">
      <selection activeCell="F15" sqref="F15"/>
    </sheetView>
  </sheetViews>
  <sheetFormatPr defaultRowHeight="14.5" x14ac:dyDescent="0.35"/>
  <cols>
    <col min="1" max="1" width="12" bestFit="1" customWidth="1"/>
    <col min="2" max="2" width="12" customWidth="1"/>
    <col min="3" max="3" width="49" bestFit="1" customWidth="1"/>
    <col min="4" max="4" width="15" bestFit="1" customWidth="1"/>
    <col min="5" max="5" width="17.81640625" bestFit="1" customWidth="1"/>
    <col min="6" max="6" width="15" bestFit="1" customWidth="1"/>
    <col min="7" max="7" width="16.7265625" bestFit="1" customWidth="1"/>
  </cols>
  <sheetData>
    <row r="1" spans="1:7" x14ac:dyDescent="0.35">
      <c r="A1" t="s">
        <v>6</v>
      </c>
      <c r="C1" t="s">
        <v>7</v>
      </c>
      <c r="D1" t="s">
        <v>9</v>
      </c>
      <c r="E1" t="s">
        <v>16</v>
      </c>
      <c r="F1" t="s">
        <v>8</v>
      </c>
      <c r="G1" t="s">
        <v>10</v>
      </c>
    </row>
    <row r="2" spans="1:7" x14ac:dyDescent="0.35">
      <c r="A2">
        <v>1</v>
      </c>
      <c r="B2">
        <v>24</v>
      </c>
      <c r="C2">
        <v>36</v>
      </c>
      <c r="D2">
        <v>26</v>
      </c>
      <c r="E2">
        <v>30</v>
      </c>
      <c r="F2">
        <v>28</v>
      </c>
      <c r="G2">
        <v>29</v>
      </c>
    </row>
    <row r="3" spans="1:7" x14ac:dyDescent="0.35">
      <c r="A3">
        <v>2</v>
      </c>
      <c r="B3">
        <v>64</v>
      </c>
      <c r="C3">
        <v>68</v>
      </c>
      <c r="D3">
        <v>48</v>
      </c>
      <c r="E3">
        <v>60</v>
      </c>
      <c r="F3">
        <v>58</v>
      </c>
      <c r="G3">
        <v>58</v>
      </c>
    </row>
    <row r="4" spans="1:7" x14ac:dyDescent="0.35">
      <c r="A4">
        <v>3</v>
      </c>
      <c r="B4">
        <v>84</v>
      </c>
      <c r="C4">
        <v>88</v>
      </c>
      <c r="D4">
        <v>86</v>
      </c>
      <c r="E4">
        <v>91</v>
      </c>
      <c r="F4">
        <v>92</v>
      </c>
      <c r="G4">
        <v>89</v>
      </c>
    </row>
    <row r="5" spans="1:7" x14ac:dyDescent="0.35">
      <c r="C5" t="s">
        <v>11</v>
      </c>
    </row>
    <row r="6" spans="1:7" x14ac:dyDescent="0.35">
      <c r="B6">
        <f xml:space="preserve"> B2/$A2</f>
        <v>24</v>
      </c>
      <c r="C6">
        <f t="shared" ref="C6:G6" si="0" xml:space="preserve"> C2/$A2</f>
        <v>36</v>
      </c>
      <c r="D6">
        <f t="shared" si="0"/>
        <v>26</v>
      </c>
      <c r="E6">
        <f t="shared" si="0"/>
        <v>30</v>
      </c>
      <c r="F6">
        <f t="shared" si="0"/>
        <v>28</v>
      </c>
      <c r="G6">
        <f t="shared" si="0"/>
        <v>29</v>
      </c>
    </row>
    <row r="7" spans="1:7" x14ac:dyDescent="0.35">
      <c r="B7">
        <f t="shared" ref="B7:G8" si="1" xml:space="preserve"> B3/$A3</f>
        <v>32</v>
      </c>
      <c r="C7">
        <f t="shared" si="1"/>
        <v>34</v>
      </c>
      <c r="D7">
        <f t="shared" si="1"/>
        <v>24</v>
      </c>
      <c r="E7">
        <f t="shared" si="1"/>
        <v>30</v>
      </c>
      <c r="F7">
        <f t="shared" si="1"/>
        <v>29</v>
      </c>
      <c r="G7">
        <f t="shared" si="1"/>
        <v>29</v>
      </c>
    </row>
    <row r="8" spans="1:7" x14ac:dyDescent="0.35">
      <c r="B8">
        <f t="shared" si="1"/>
        <v>28</v>
      </c>
      <c r="C8">
        <f t="shared" si="1"/>
        <v>29.333333333333332</v>
      </c>
      <c r="D8">
        <f t="shared" si="1"/>
        <v>28.666666666666668</v>
      </c>
      <c r="E8">
        <f t="shared" si="1"/>
        <v>30.333333333333332</v>
      </c>
      <c r="F8">
        <f t="shared" si="1"/>
        <v>30.666666666666668</v>
      </c>
      <c r="G8">
        <f t="shared" si="1"/>
        <v>29.666666666666668</v>
      </c>
    </row>
    <row r="10" spans="1:7" x14ac:dyDescent="0.35">
      <c r="B10">
        <f>AVERAGE(B6:E8)</f>
        <v>29.361111111111111</v>
      </c>
      <c r="C10">
        <f>B10 * 1.5/100</f>
        <v>0.44041666666666662</v>
      </c>
      <c r="F10">
        <f>AVERAGE(F6:G8)</f>
        <v>29.222222222222218</v>
      </c>
      <c r="G10">
        <f>F10 * 1.5/100</f>
        <v>0.4383333333333333</v>
      </c>
    </row>
    <row r="11" spans="1:7" x14ac:dyDescent="0.35">
      <c r="B11">
        <f>SQRT(_xlfn.VAR.S(B6:E8))</f>
        <v>3.636121624943335</v>
      </c>
      <c r="C11">
        <f>B11 * 1.5/100</f>
        <v>5.4541824374150026E-2</v>
      </c>
      <c r="F11">
        <f>SQRT(_xlfn.VAR.S(F6:G8))</f>
        <v>0.88610675721675092</v>
      </c>
      <c r="G11">
        <f>F11 * 1.5/100</f>
        <v>1.3291601358251264E-2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E17" sqref="E17"/>
    </sheetView>
  </sheetViews>
  <sheetFormatPr defaultRowHeight="14.5" x14ac:dyDescent="0.35"/>
  <cols>
    <col min="2" max="2" width="9.453125" bestFit="1" customWidth="1"/>
    <col min="3" max="3" width="9.81640625" bestFit="1" customWidth="1"/>
    <col min="4" max="4" width="9.90625" bestFit="1" customWidth="1"/>
  </cols>
  <sheetData>
    <row r="1" spans="1:4" x14ac:dyDescent="0.35">
      <c r="A1" t="s">
        <v>12</v>
      </c>
      <c r="B1" t="s">
        <v>13</v>
      </c>
      <c r="C1" t="s">
        <v>14</v>
      </c>
      <c r="D1" t="s">
        <v>15</v>
      </c>
    </row>
    <row r="2" spans="1:4" x14ac:dyDescent="0.35">
      <c r="A2">
        <v>1</v>
      </c>
      <c r="B2" s="1">
        <f>4.9/2</f>
        <v>2.4500000000000002</v>
      </c>
      <c r="C2">
        <f>6.1/2</f>
        <v>3.05</v>
      </c>
      <c r="D2">
        <v>0.1</v>
      </c>
    </row>
    <row r="3" spans="1:4" x14ac:dyDescent="0.35">
      <c r="A3">
        <v>2</v>
      </c>
      <c r="B3">
        <v>3.7</v>
      </c>
      <c r="C3">
        <v>4.0999999999999996</v>
      </c>
      <c r="D3">
        <v>0.2</v>
      </c>
    </row>
    <row r="4" spans="1:4" x14ac:dyDescent="0.35">
      <c r="A4">
        <v>3</v>
      </c>
      <c r="B4">
        <v>4.5999999999999996</v>
      </c>
      <c r="C4">
        <v>5</v>
      </c>
      <c r="D4">
        <v>0.1</v>
      </c>
    </row>
    <row r="5" spans="1:4" x14ac:dyDescent="0.35">
      <c r="A5">
        <v>4</v>
      </c>
      <c r="B5">
        <v>5.3</v>
      </c>
      <c r="C5">
        <v>5.6</v>
      </c>
      <c r="D5">
        <v>0.05</v>
      </c>
    </row>
    <row r="6" spans="1:4" x14ac:dyDescent="0.35">
      <c r="A6">
        <v>5</v>
      </c>
      <c r="B6">
        <v>6</v>
      </c>
      <c r="C6">
        <v>6.1</v>
      </c>
      <c r="D6">
        <v>0.05</v>
      </c>
    </row>
    <row r="7" spans="1:4" x14ac:dyDescent="0.35">
      <c r="A7">
        <v>6</v>
      </c>
      <c r="B7">
        <v>6.6</v>
      </c>
      <c r="C7">
        <v>6.7</v>
      </c>
      <c r="D7">
        <v>0.05</v>
      </c>
    </row>
    <row r="8" spans="1:4" x14ac:dyDescent="0.35">
      <c r="A8">
        <v>7</v>
      </c>
      <c r="B8">
        <v>7.2</v>
      </c>
      <c r="C8">
        <v>7.4</v>
      </c>
      <c r="D8">
        <v>0.05</v>
      </c>
    </row>
    <row r="9" spans="1:4" x14ac:dyDescent="0.35">
      <c r="A9">
        <v>8</v>
      </c>
      <c r="B9">
        <v>7.7</v>
      </c>
      <c r="C9">
        <v>7.8</v>
      </c>
      <c r="D9">
        <v>0.05</v>
      </c>
    </row>
    <row r="10" spans="1:4" x14ac:dyDescent="0.35">
      <c r="A10">
        <v>9</v>
      </c>
      <c r="B10">
        <v>8.3000000000000007</v>
      </c>
      <c r="C10">
        <v>8.3000000000000007</v>
      </c>
      <c r="D10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параметры</vt:lpstr>
      <vt:lpstr>U_lambda</vt:lpstr>
      <vt:lpstr>кольца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2025-02-06T11:22:18Z</dcterms:created>
  <dcterms:modified xsi:type="dcterms:W3CDTF">2025-02-16T22:03:45Z</dcterms:modified>
</cp:coreProperties>
</file>