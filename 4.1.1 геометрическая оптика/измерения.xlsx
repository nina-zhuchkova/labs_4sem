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ser\Desktop\бакалавриат\4 semester (try 2)\лабы\4.1.1 геометрическая оптика\"/>
    </mc:Choice>
  </mc:AlternateContent>
  <bookViews>
    <workbookView xWindow="0" yWindow="0" windowWidth="15850" windowHeight="7260" firstSheet="3" activeTab="3"/>
  </bookViews>
  <sheets>
    <sheet name="оценка фокусов линз" sheetId="1" r:id="rId1"/>
    <sheet name="1определение фокусных расстояни" sheetId="2" r:id="rId2"/>
    <sheet name="2 два  (2) (two) бессель " sheetId="3" r:id="rId3"/>
    <sheet name="4 телескоп галлилея" sheetId="4" r:id="rId4"/>
    <sheet name="5 микроскоп" sheetId="5" r:id="rId5"/>
    <sheet name="6 измерение составной системы" sheetId="9" r:id="rId6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3" l="1"/>
  <c r="C3" i="3"/>
</calcChain>
</file>

<file path=xl/sharedStrings.xml><?xml version="1.0" encoding="utf-8"?>
<sst xmlns="http://schemas.openxmlformats.org/spreadsheetml/2006/main" count="57" uniqueCount="44">
  <si>
    <t>номер линзы</t>
  </si>
  <si>
    <t>f, см</t>
  </si>
  <si>
    <t>2.5</t>
  </si>
  <si>
    <t>2.6</t>
  </si>
  <si>
    <t>2.4</t>
  </si>
  <si>
    <t>2.3</t>
  </si>
  <si>
    <t>2.2</t>
  </si>
  <si>
    <t>2.1</t>
  </si>
  <si>
    <t>погрешность около 2 мм</t>
  </si>
  <si>
    <t>определение фокусного расстояния рассеивающей линзы</t>
  </si>
  <si>
    <t>юзаем лигзу 2.4 в положении типа 1</t>
  </si>
  <si>
    <t>ВСЕ В МИЛЛИМЕТРАХ</t>
  </si>
  <si>
    <t>f1, mm</t>
  </si>
  <si>
    <t>f2, mm</t>
  </si>
  <si>
    <t>b1, mm</t>
  </si>
  <si>
    <t>l1, mm</t>
  </si>
  <si>
    <t>l2, mm</t>
  </si>
  <si>
    <t>a1, mm</t>
  </si>
  <si>
    <t>x1, mm</t>
  </si>
  <si>
    <t>a2, mm</t>
  </si>
  <si>
    <t>x2, mm</t>
  </si>
  <si>
    <t>линза 2.3 в положении два (2) (two)</t>
  </si>
  <si>
    <t>линза 2.3 в положении один (1) (one)</t>
  </si>
  <si>
    <t>коллиматор: 2.4</t>
  </si>
  <si>
    <t>все линзы в положении 1</t>
  </si>
  <si>
    <t>отношение диаметров</t>
  </si>
  <si>
    <t>D1, мм</t>
  </si>
  <si>
    <t>D0, mm</t>
  </si>
  <si>
    <t>45+-1</t>
  </si>
  <si>
    <t>21+-1</t>
  </si>
  <si>
    <t>окуляр: 2.6</t>
  </si>
  <si>
    <t>объектив: 2.1</t>
  </si>
  <si>
    <t>объектив: 2.3</t>
  </si>
  <si>
    <t>окуляр: 2.5</t>
  </si>
  <si>
    <t>И-Об, мм</t>
  </si>
  <si>
    <t>Ок-Об</t>
  </si>
  <si>
    <t>положение 1: обе линзы в положении 1, ближняя -- 2.5</t>
  </si>
  <si>
    <t>положение 2: обе линзы в положении 2, ближняя -- 2.6</t>
  </si>
  <si>
    <t>l, мм</t>
  </si>
  <si>
    <t>L, мм</t>
  </si>
  <si>
    <t>x2, мм</t>
  </si>
  <si>
    <t>положение 1</t>
  </si>
  <si>
    <t>5mm pogreshnost</t>
  </si>
  <si>
    <t>НИЧЕГО НЕ ВЫШЛО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</si>
</sst>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charset val="204"/>
      <scheme val="minor"/>
    </font>
    <font>
      <b/>
      <sz val="26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E27" sqref="C27:E28"/>
    </sheetView>
  </sheetViews>
  <sheetFormatPr defaultRowHeight="14.5" x14ac:dyDescent="0.35"/>
  <cols>
    <col min="1" max="1" width="8.7265625" style="1"/>
  </cols>
  <sheetData>
    <row r="1" spans="1:2" x14ac:dyDescent="0.35">
      <c r="A1" s="1" t="s">
        <v>0</v>
      </c>
      <c r="B1" t="s">
        <v>1</v>
      </c>
    </row>
    <row r="2" spans="1:2" x14ac:dyDescent="0.35">
      <c r="A2" s="1" t="s">
        <v>3</v>
      </c>
      <c r="B2">
        <v>5</v>
      </c>
    </row>
    <row r="3" spans="1:2" x14ac:dyDescent="0.35">
      <c r="A3" s="1" t="s">
        <v>2</v>
      </c>
      <c r="B3">
        <v>-14</v>
      </c>
    </row>
    <row r="4" spans="1:2" x14ac:dyDescent="0.35">
      <c r="A4" s="1" t="s">
        <v>4</v>
      </c>
      <c r="B4">
        <v>25</v>
      </c>
    </row>
    <row r="5" spans="1:2" x14ac:dyDescent="0.35">
      <c r="A5" s="1" t="s">
        <v>5</v>
      </c>
      <c r="B5">
        <v>18</v>
      </c>
    </row>
    <row r="6" spans="1:2" x14ac:dyDescent="0.35">
      <c r="A6" s="1" t="s">
        <v>6</v>
      </c>
      <c r="B6">
        <v>13</v>
      </c>
    </row>
    <row r="7" spans="1:2" x14ac:dyDescent="0.35">
      <c r="A7" s="1" t="s">
        <v>7</v>
      </c>
      <c r="B7">
        <v>8</v>
      </c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I4" sqref="I4"/>
    </sheetView>
  </sheetViews>
  <sheetFormatPr defaultRowHeight="14.5" x14ac:dyDescent="0.35"/>
  <cols>
    <col min="1" max="1" width="14.54296875" customWidth="1"/>
    <col min="7" max="7" width="51.81640625" bestFit="1" customWidth="1"/>
  </cols>
  <sheetData>
    <row r="1" spans="1:9" x14ac:dyDescent="0.35">
      <c r="A1" s="1" t="s">
        <v>0</v>
      </c>
      <c r="B1" t="s">
        <v>12</v>
      </c>
      <c r="C1" t="s">
        <v>13</v>
      </c>
      <c r="G1" t="s">
        <v>9</v>
      </c>
    </row>
    <row r="2" spans="1:9" x14ac:dyDescent="0.35">
      <c r="A2" s="1" t="s">
        <v>3</v>
      </c>
      <c r="B2">
        <v>48</v>
      </c>
      <c r="C2">
        <v>54</v>
      </c>
      <c r="G2" t="s">
        <v>10</v>
      </c>
    </row>
    <row r="3" spans="1:9" x14ac:dyDescent="0.35">
      <c r="A3" s="1" t="s">
        <v>2</v>
      </c>
      <c r="G3" t="s">
        <v>14</v>
      </c>
      <c r="H3" t="s">
        <v>15</v>
      </c>
      <c r="I3" t="s">
        <v>16</v>
      </c>
    </row>
    <row r="4" spans="1:9" x14ac:dyDescent="0.35">
      <c r="A4" s="1" t="s">
        <v>4</v>
      </c>
      <c r="B4">
        <v>248</v>
      </c>
      <c r="C4">
        <v>247</v>
      </c>
      <c r="G4">
        <v>357</v>
      </c>
      <c r="H4">
        <v>262</v>
      </c>
      <c r="I4">
        <v>265</v>
      </c>
    </row>
    <row r="5" spans="1:9" x14ac:dyDescent="0.35">
      <c r="A5" s="1" t="s">
        <v>5</v>
      </c>
      <c r="B5">
        <v>176</v>
      </c>
      <c r="C5">
        <v>172</v>
      </c>
    </row>
    <row r="6" spans="1:9" x14ac:dyDescent="0.35">
      <c r="A6" s="1" t="s">
        <v>6</v>
      </c>
      <c r="B6">
        <v>123</v>
      </c>
      <c r="C6">
        <v>124</v>
      </c>
      <c r="D6" t="s">
        <v>8</v>
      </c>
    </row>
    <row r="7" spans="1:9" x14ac:dyDescent="0.35">
      <c r="A7" s="1" t="s">
        <v>7</v>
      </c>
      <c r="B7">
        <v>71</v>
      </c>
      <c r="C7">
        <v>79</v>
      </c>
    </row>
    <row r="10" spans="1:9" ht="33.5" x14ac:dyDescent="0.75">
      <c r="F10" s="2" t="s">
        <v>11</v>
      </c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selection activeCell="K14" sqref="K14"/>
    </sheetView>
  </sheetViews>
  <sheetFormatPr defaultRowHeight="14.5" x14ac:dyDescent="0.35"/>
  <sheetData>
    <row r="1" spans="1:9" x14ac:dyDescent="0.35">
      <c r="A1" t="s">
        <v>22</v>
      </c>
      <c r="F1" t="s">
        <v>21</v>
      </c>
    </row>
    <row r="2" spans="1:9" x14ac:dyDescent="0.35">
      <c r="A2" t="s">
        <v>17</v>
      </c>
      <c r="B2" t="s">
        <v>18</v>
      </c>
      <c r="C2" t="s">
        <v>19</v>
      </c>
      <c r="D2" t="s">
        <v>20</v>
      </c>
      <c r="F2" t="s">
        <v>17</v>
      </c>
      <c r="G2" t="s">
        <v>18</v>
      </c>
      <c r="H2" t="s">
        <v>19</v>
      </c>
      <c r="I2" t="s">
        <v>20</v>
      </c>
    </row>
    <row r="3" spans="1:9" x14ac:dyDescent="0.35">
      <c r="A3">
        <v>240</v>
      </c>
      <c r="B3">
        <v>1187</v>
      </c>
      <c r="C3">
        <f>640-7</f>
        <v>633</v>
      </c>
      <c r="D3">
        <v>796</v>
      </c>
      <c r="F3">
        <v>229</v>
      </c>
      <c r="G3">
        <v>1189</v>
      </c>
      <c r="H3">
        <f>636-7</f>
        <v>629</v>
      </c>
      <c r="I3">
        <v>799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tabSelected="1" workbookViewId="0">
      <selection activeCell="H20" sqref="H20"/>
    </sheetView>
  </sheetViews>
  <sheetFormatPr defaultRowHeight="14.5" x14ac:dyDescent="0.35"/>
  <cols>
    <col min="1" max="1" width="14.90625" bestFit="1" customWidth="1"/>
    <col min="2" max="2" width="22.90625" bestFit="1" customWidth="1"/>
    <col min="4" max="4" width="20.7265625" bestFit="1" customWidth="1"/>
  </cols>
  <sheetData>
    <row r="1" spans="1:5" x14ac:dyDescent="0.35">
      <c r="A1" t="s">
        <v>23</v>
      </c>
      <c r="B1" t="s">
        <v>24</v>
      </c>
      <c r="D1" t="s">
        <v>25</v>
      </c>
    </row>
    <row r="2" spans="1:5" x14ac:dyDescent="0.35">
      <c r="A2" t="s">
        <v>32</v>
      </c>
      <c r="D2" t="s">
        <v>26</v>
      </c>
      <c r="E2" t="s">
        <v>27</v>
      </c>
    </row>
    <row r="3" spans="1:5" x14ac:dyDescent="0.35">
      <c r="A3" t="s">
        <v>33</v>
      </c>
      <c r="D3" t="s">
        <v>29</v>
      </c>
      <c r="E3" t="s">
        <v>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activeCell="H7" sqref="H7"/>
    </sheetView>
  </sheetViews>
  <sheetFormatPr defaultRowHeight="14.5" x14ac:dyDescent="0.35"/>
  <sheetData>
    <row r="1" spans="1:4" x14ac:dyDescent="0.35">
      <c r="A1" t="s">
        <v>31</v>
      </c>
      <c r="C1" t="s">
        <v>24</v>
      </c>
    </row>
    <row r="2" spans="1:4" x14ac:dyDescent="0.35">
      <c r="A2" t="s">
        <v>30</v>
      </c>
    </row>
    <row r="3" spans="1:4" x14ac:dyDescent="0.35">
      <c r="C3" t="s">
        <v>34</v>
      </c>
      <c r="D3" t="s">
        <v>35</v>
      </c>
    </row>
    <row r="4" spans="1:4" x14ac:dyDescent="0.35">
      <c r="C4">
        <v>107</v>
      </c>
      <c r="D4">
        <v>289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B9" sqref="B9"/>
    </sheetView>
  </sheetViews>
  <sheetFormatPr defaultRowHeight="14.5" x14ac:dyDescent="0.35"/>
  <cols>
    <col min="1" max="1" width="35.7265625" bestFit="1" customWidth="1"/>
  </cols>
  <sheetData>
    <row r="1" spans="1:9" x14ac:dyDescent="0.35">
      <c r="A1" t="s">
        <v>36</v>
      </c>
      <c r="D1" t="s">
        <v>38</v>
      </c>
      <c r="F1" t="s">
        <v>41</v>
      </c>
    </row>
    <row r="2" spans="1:9" x14ac:dyDescent="0.35">
      <c r="A2" t="s">
        <v>37</v>
      </c>
      <c r="D2">
        <v>46</v>
      </c>
      <c r="E2" t="s">
        <v>39</v>
      </c>
      <c r="F2" t="s">
        <v>18</v>
      </c>
      <c r="G2" t="s">
        <v>40</v>
      </c>
    </row>
    <row r="3" spans="1:9" x14ac:dyDescent="0.35">
      <c r="I3" t="s">
        <v>42</v>
      </c>
    </row>
    <row r="4" spans="1:9" x14ac:dyDescent="0.35">
      <c r="E4">
        <v>375</v>
      </c>
      <c r="F4">
        <v>1127</v>
      </c>
      <c r="G4">
        <v>1353</v>
      </c>
    </row>
    <row r="5" spans="1:9" x14ac:dyDescent="0.35">
      <c r="E5">
        <v>475</v>
      </c>
      <c r="F5">
        <v>1027</v>
      </c>
      <c r="G5">
        <v>1355</v>
      </c>
    </row>
    <row r="8" spans="1:9" x14ac:dyDescent="0.35">
      <c r="B8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оценка фокусов линз</vt:lpstr>
      <vt:lpstr>1определение фокусных расстояни</vt:lpstr>
      <vt:lpstr>2 два  (2) (two) бессель </vt:lpstr>
      <vt:lpstr>4 телескоп галлилея</vt:lpstr>
      <vt:lpstr>5 микроскоп</vt:lpstr>
      <vt:lpstr>6 измерение составной системы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2026-04-24T10:59:31Z</dcterms:created>
  <dcterms:modified xsi:type="dcterms:W3CDTF">2026-04-26T16:06:36Z</dcterms:modified>
</cp:coreProperties>
</file>