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1.1 геометрическая оптика\"/>
    </mc:Choice>
  </mc:AlternateContent>
  <bookViews>
    <workbookView xWindow="0" yWindow="0" windowWidth="15850" windowHeight="7260" firstSheet="3" activeTab="4"/>
  </bookViews>
  <sheets>
    <sheet name="оценка фокусов линз" sheetId="1" r:id="rId1"/>
    <sheet name="1определение фокусных расстояни" sheetId="2" r:id="rId2"/>
    <sheet name="1 вариант 2" sheetId="10" r:id="rId3"/>
    <sheet name="2 два  (2) (two) бессель " sheetId="3" r:id="rId4"/>
    <sheet name="4 телескоп галлилея" sheetId="4" r:id="rId5"/>
    <sheet name="5 микроскоп" sheetId="5" r:id="rId6"/>
    <sheet name="6 измерение составной системы" sheetId="9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0" l="1"/>
  <c r="D5" i="10"/>
  <c r="D6" i="10"/>
  <c r="E5" i="10"/>
  <c r="D4" i="10"/>
  <c r="E4" i="10"/>
  <c r="D3" i="10"/>
  <c r="E3" i="10"/>
  <c r="D2" i="10"/>
  <c r="E2" i="10"/>
  <c r="E7" i="10"/>
  <c r="D7" i="10"/>
  <c r="C6" i="10"/>
  <c r="B6" i="10"/>
  <c r="C12" i="2"/>
  <c r="B12" i="2"/>
  <c r="H13" i="3"/>
  <c r="C13" i="3"/>
  <c r="H8" i="3"/>
  <c r="C8" i="3"/>
  <c r="I6" i="2"/>
  <c r="H6" i="2"/>
  <c r="H3" i="3" l="1"/>
  <c r="C3" i="3"/>
</calcChain>
</file>

<file path=xl/sharedStrings.xml><?xml version="1.0" encoding="utf-8"?>
<sst xmlns="http://schemas.openxmlformats.org/spreadsheetml/2006/main" count="122" uniqueCount="71">
  <si>
    <t>номер линзы</t>
  </si>
  <si>
    <t>2.5</t>
  </si>
  <si>
    <t>2.6</t>
  </si>
  <si>
    <t>2.4</t>
  </si>
  <si>
    <t>2.3</t>
  </si>
  <si>
    <t>2.2</t>
  </si>
  <si>
    <t>2.1</t>
  </si>
  <si>
    <t>погрешность около 2 мм</t>
  </si>
  <si>
    <t>определение фокусного расстояния рассеивающей линзы</t>
  </si>
  <si>
    <t>юзаем лигзу 2.4 в положении типа 1</t>
  </si>
  <si>
    <t>f1, mm</t>
  </si>
  <si>
    <t>f2, mm</t>
  </si>
  <si>
    <t>b1, mm</t>
  </si>
  <si>
    <t>l1, mm</t>
  </si>
  <si>
    <t>l2, mm</t>
  </si>
  <si>
    <t>a1, mm</t>
  </si>
  <si>
    <t>x1, mm</t>
  </si>
  <si>
    <t>a2, mm</t>
  </si>
  <si>
    <t>x2, mm</t>
  </si>
  <si>
    <t>линза 2.3 в положении два (2) (two)</t>
  </si>
  <si>
    <t>линза 2.3 в положении один (1) (one)</t>
  </si>
  <si>
    <t>коллиматор: 2.4</t>
  </si>
  <si>
    <t>все линзы в положении 1</t>
  </si>
  <si>
    <t>отношение диаметров</t>
  </si>
  <si>
    <t>D1, мм</t>
  </si>
  <si>
    <t>D0, mm</t>
  </si>
  <si>
    <t>45+-1</t>
  </si>
  <si>
    <t>21+-1</t>
  </si>
  <si>
    <t>окуляр: 2.6</t>
  </si>
  <si>
    <t>объектив: 2.1</t>
  </si>
  <si>
    <t>объектив: 2.3</t>
  </si>
  <si>
    <t>окуляр: 2.5</t>
  </si>
  <si>
    <t>И-Об, мм</t>
  </si>
  <si>
    <t>Ок-Об</t>
  </si>
  <si>
    <t>положение 1: обе линзы в положении 1, ближняя -- 2.5</t>
  </si>
  <si>
    <t>положение 2: обе линзы в положении 2, ближняя -- 2.6</t>
  </si>
  <si>
    <t>l, мм</t>
  </si>
  <si>
    <t>L, мм</t>
  </si>
  <si>
    <t>x2, мм</t>
  </si>
  <si>
    <t>положение 1</t>
  </si>
  <si>
    <t>5mm pogreshnost</t>
  </si>
  <si>
    <t>НИЧЕГО НЕ ВЫШЛО</t>
  </si>
  <si>
    <t>f_\sim, см</t>
  </si>
  <si>
    <t>f_t_1, см</t>
  </si>
  <si>
    <t>f_t_2, см</t>
  </si>
  <si>
    <t>тут результаты телескопа</t>
  </si>
  <si>
    <t>f1</t>
  </si>
  <si>
    <t>f2</t>
  </si>
  <si>
    <t>собирающие</t>
  </si>
  <si>
    <t>рассеивающие</t>
  </si>
  <si>
    <t>D, см</t>
  </si>
  <si>
    <t>d, см</t>
  </si>
  <si>
    <t>погрешность</t>
  </si>
  <si>
    <t>L = 86,9 см</t>
  </si>
  <si>
    <t>delta_L = 0,2</t>
  </si>
  <si>
    <t>delta_x = 0,1</t>
  </si>
  <si>
    <t>L = 111,5</t>
  </si>
  <si>
    <t>delta_L = 0,3</t>
  </si>
  <si>
    <t>delta_x = 0,2</t>
  </si>
  <si>
    <t>l</t>
  </si>
  <si>
    <t>f_b, см</t>
  </si>
  <si>
    <t>-</t>
  </si>
  <si>
    <t>17,39 +- 0,08</t>
  </si>
  <si>
    <t>7,9 +- 0,2</t>
  </si>
  <si>
    <t>-9,2 +- 0,4</t>
  </si>
  <si>
    <t>пересчет в расстояния до плоской стороны линзы</t>
  </si>
  <si>
    <t>со стороны плоскости</t>
  </si>
  <si>
    <t>со стороны кривизны</t>
  </si>
  <si>
    <t>f, мм</t>
  </si>
  <si>
    <t>df, мм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</si>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</sst>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F15" sqref="F15"/>
    </sheetView>
  </sheetViews>
  <sheetFormatPr defaultRowHeight="14.5" x14ac:dyDescent="0.35"/>
  <cols>
    <col min="1" max="1" width="12.26953125" style="1" bestFit="1" customWidth="1"/>
  </cols>
  <sheetData>
    <row r="1" spans="1:5" x14ac:dyDescent="0.35">
      <c r="A1" s="1" t="s">
        <v>0</v>
      </c>
      <c r="B1" t="s">
        <v>42</v>
      </c>
      <c r="C1" t="s">
        <v>43</v>
      </c>
      <c r="D1" t="s">
        <v>44</v>
      </c>
      <c r="E1" t="s">
        <v>60</v>
      </c>
    </row>
    <row r="2" spans="1:5" x14ac:dyDescent="0.35">
      <c r="A2" s="1" t="s">
        <v>6</v>
      </c>
      <c r="B2">
        <v>8</v>
      </c>
      <c r="C2">
        <v>7.1</v>
      </c>
      <c r="D2" t="s">
        <v>63</v>
      </c>
      <c r="E2" t="s">
        <v>61</v>
      </c>
    </row>
    <row r="3" spans="1:5" x14ac:dyDescent="0.35">
      <c r="A3" s="1" t="s">
        <v>5</v>
      </c>
      <c r="B3">
        <v>13</v>
      </c>
      <c r="C3">
        <v>12.3</v>
      </c>
      <c r="D3">
        <v>12.4</v>
      </c>
      <c r="E3" t="s">
        <v>61</v>
      </c>
    </row>
    <row r="4" spans="1:5" x14ac:dyDescent="0.35">
      <c r="A4" s="1" t="s">
        <v>4</v>
      </c>
      <c r="B4">
        <v>18</v>
      </c>
      <c r="C4">
        <v>17.600000000000001</v>
      </c>
      <c r="D4">
        <v>17.2</v>
      </c>
      <c r="E4" t="s">
        <v>62</v>
      </c>
    </row>
    <row r="5" spans="1:5" x14ac:dyDescent="0.35">
      <c r="A5" s="1" t="s">
        <v>3</v>
      </c>
      <c r="B5">
        <v>25</v>
      </c>
      <c r="C5">
        <v>24.8</v>
      </c>
      <c r="D5">
        <v>24.7</v>
      </c>
    </row>
    <row r="6" spans="1:5" x14ac:dyDescent="0.35">
      <c r="A6" s="1" t="s">
        <v>1</v>
      </c>
      <c r="B6">
        <v>-14</v>
      </c>
      <c r="C6">
        <v>-9.5</v>
      </c>
      <c r="D6" s="1" t="s">
        <v>64</v>
      </c>
    </row>
    <row r="7" spans="1:5" x14ac:dyDescent="0.35">
      <c r="A7" s="1" t="s">
        <v>2</v>
      </c>
      <c r="B7">
        <v>5</v>
      </c>
      <c r="C7">
        <v>4.8</v>
      </c>
      <c r="D7">
        <v>5.4</v>
      </c>
    </row>
    <row r="8" spans="1:5" x14ac:dyDescent="0.35">
      <c r="C8" s="3" t="s">
        <v>45</v>
      </c>
      <c r="D8" s="3"/>
    </row>
    <row r="10" spans="1:5" x14ac:dyDescent="0.35">
      <c r="B10" t="s">
        <v>50</v>
      </c>
      <c r="C10" t="s">
        <v>51</v>
      </c>
      <c r="D10" t="s">
        <v>52</v>
      </c>
    </row>
    <row r="11" spans="1:5" x14ac:dyDescent="0.35">
      <c r="A11" s="1" t="s">
        <v>48</v>
      </c>
      <c r="B11">
        <v>5</v>
      </c>
      <c r="C11">
        <v>1.3</v>
      </c>
      <c r="D11">
        <v>0.1</v>
      </c>
    </row>
    <row r="12" spans="1:5" x14ac:dyDescent="0.35">
      <c r="A12" s="1" t="s">
        <v>49</v>
      </c>
      <c r="B12">
        <v>4</v>
      </c>
      <c r="C12">
        <v>1.3</v>
      </c>
    </row>
  </sheetData>
  <sortState ref="A2:D7">
    <sortCondition ref="A2:A7"/>
  </sortState>
  <mergeCells count="1">
    <mergeCell ref="C8:D8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G13" sqref="G13"/>
    </sheetView>
  </sheetViews>
  <sheetFormatPr defaultRowHeight="14.5" x14ac:dyDescent="0.35"/>
  <cols>
    <col min="1" max="1" width="14.54296875" customWidth="1"/>
    <col min="7" max="7" width="51.81640625" bestFit="1" customWidth="1"/>
  </cols>
  <sheetData>
    <row r="1" spans="1:9" x14ac:dyDescent="0.35">
      <c r="A1" s="1" t="s">
        <v>0</v>
      </c>
      <c r="B1" t="s">
        <v>10</v>
      </c>
      <c r="C1" t="s">
        <v>11</v>
      </c>
      <c r="G1" t="s">
        <v>8</v>
      </c>
    </row>
    <row r="2" spans="1:9" x14ac:dyDescent="0.35">
      <c r="A2" s="1" t="s">
        <v>2</v>
      </c>
      <c r="B2">
        <v>48</v>
      </c>
      <c r="C2">
        <v>54</v>
      </c>
      <c r="G2" t="s">
        <v>9</v>
      </c>
    </row>
    <row r="3" spans="1:9" x14ac:dyDescent="0.35">
      <c r="A3" s="1" t="s">
        <v>1</v>
      </c>
      <c r="G3" t="s">
        <v>12</v>
      </c>
      <c r="H3" t="s">
        <v>13</v>
      </c>
      <c r="I3" t="s">
        <v>14</v>
      </c>
    </row>
    <row r="4" spans="1:9" x14ac:dyDescent="0.35">
      <c r="A4" s="1" t="s">
        <v>3</v>
      </c>
      <c r="B4">
        <v>248</v>
      </c>
      <c r="C4">
        <v>247</v>
      </c>
      <c r="G4">
        <v>357</v>
      </c>
      <c r="H4">
        <v>262</v>
      </c>
      <c r="I4">
        <v>265</v>
      </c>
    </row>
    <row r="5" spans="1:9" x14ac:dyDescent="0.35">
      <c r="A5" s="1" t="s">
        <v>4</v>
      </c>
      <c r="B5">
        <v>176</v>
      </c>
      <c r="C5">
        <v>172</v>
      </c>
      <c r="H5" t="s">
        <v>46</v>
      </c>
      <c r="I5" t="s">
        <v>47</v>
      </c>
    </row>
    <row r="6" spans="1:9" x14ac:dyDescent="0.35">
      <c r="A6" s="1" t="s">
        <v>5</v>
      </c>
      <c r="B6">
        <v>123</v>
      </c>
      <c r="C6">
        <v>124</v>
      </c>
      <c r="D6" t="s">
        <v>7</v>
      </c>
      <c r="H6">
        <f>H4-G4</f>
        <v>-95</v>
      </c>
      <c r="I6">
        <f>I4-G4</f>
        <v>-92</v>
      </c>
    </row>
    <row r="7" spans="1:9" x14ac:dyDescent="0.35">
      <c r="A7" s="1" t="s">
        <v>6</v>
      </c>
      <c r="B7">
        <v>71</v>
      </c>
      <c r="C7">
        <v>79</v>
      </c>
    </row>
    <row r="9" spans="1:9" x14ac:dyDescent="0.35">
      <c r="A9" s="1" t="s">
        <v>65</v>
      </c>
    </row>
    <row r="10" spans="1:9" ht="33.5" x14ac:dyDescent="0.75">
      <c r="A10" s="1" t="s">
        <v>0</v>
      </c>
      <c r="B10" t="s">
        <v>10</v>
      </c>
      <c r="C10" t="s">
        <v>11</v>
      </c>
      <c r="F10" s="2"/>
    </row>
    <row r="11" spans="1:9" x14ac:dyDescent="0.35">
      <c r="A11" s="1" t="s">
        <v>2</v>
      </c>
      <c r="B11">
        <v>41</v>
      </c>
      <c r="C11">
        <v>61</v>
      </c>
    </row>
    <row r="12" spans="1:9" x14ac:dyDescent="0.35">
      <c r="A12" s="1" t="s">
        <v>1</v>
      </c>
      <c r="B12">
        <f>-92 + 7</f>
        <v>-85</v>
      </c>
      <c r="C12">
        <f>-95 -7</f>
        <v>-102</v>
      </c>
    </row>
    <row r="13" spans="1:9" x14ac:dyDescent="0.35">
      <c r="A13" s="1" t="s">
        <v>3</v>
      </c>
      <c r="B13">
        <v>241</v>
      </c>
      <c r="C13">
        <v>254</v>
      </c>
    </row>
    <row r="14" spans="1:9" x14ac:dyDescent="0.35">
      <c r="A14" s="1" t="s">
        <v>4</v>
      </c>
      <c r="B14">
        <v>169</v>
      </c>
      <c r="C14">
        <v>179</v>
      </c>
    </row>
    <row r="15" spans="1:9" x14ac:dyDescent="0.35">
      <c r="A15" s="1" t="s">
        <v>5</v>
      </c>
      <c r="B15">
        <v>116</v>
      </c>
      <c r="C15">
        <v>131</v>
      </c>
    </row>
    <row r="16" spans="1:9" x14ac:dyDescent="0.35">
      <c r="A16" s="1" t="s">
        <v>6</v>
      </c>
      <c r="B16">
        <v>64</v>
      </c>
      <c r="C16">
        <v>86</v>
      </c>
    </row>
    <row r="17" spans="2:3" x14ac:dyDescent="0.35">
      <c r="B17" t="s">
        <v>66</v>
      </c>
      <c r="C17" t="s">
        <v>67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11" sqref="E11"/>
    </sheetView>
  </sheetViews>
  <sheetFormatPr defaultRowHeight="14.5" x14ac:dyDescent="0.35"/>
  <cols>
    <col min="4" max="4" width="10.26953125" bestFit="1" customWidth="1"/>
  </cols>
  <sheetData>
    <row r="1" spans="1:6" x14ac:dyDescent="0.35">
      <c r="A1" s="1" t="s">
        <v>0</v>
      </c>
      <c r="B1" t="s">
        <v>10</v>
      </c>
      <c r="C1" t="s">
        <v>11</v>
      </c>
      <c r="D1" t="s">
        <v>68</v>
      </c>
      <c r="E1" t="s">
        <v>69</v>
      </c>
      <c r="F1" t="s">
        <v>70</v>
      </c>
    </row>
    <row r="2" spans="1:6" x14ac:dyDescent="0.35">
      <c r="A2" s="1" t="s">
        <v>6</v>
      </c>
      <c r="B2">
        <v>86</v>
      </c>
      <c r="C2">
        <v>64</v>
      </c>
      <c r="D2" s="4">
        <f>((2 - $F$2) *C2 + B2)/(3 - $F$2)</f>
        <v>78.666666666666671</v>
      </c>
      <c r="E2">
        <f>((2 - $F$2) *2 + 2)/(3 - $F$2)</f>
        <v>2</v>
      </c>
      <c r="F2">
        <v>1.5</v>
      </c>
    </row>
    <row r="3" spans="1:6" x14ac:dyDescent="0.35">
      <c r="A3" s="1" t="s">
        <v>5</v>
      </c>
      <c r="B3">
        <v>131</v>
      </c>
      <c r="C3">
        <v>116</v>
      </c>
      <c r="D3" s="4">
        <f>((2 - $F$2) *C3 + B3)/(3 - $F$2)</f>
        <v>126</v>
      </c>
      <c r="E3">
        <f>((2 - $F$2) *2 + 2)/(3 - $F$2)</f>
        <v>2</v>
      </c>
    </row>
    <row r="4" spans="1:6" x14ac:dyDescent="0.35">
      <c r="A4" s="1" t="s">
        <v>4</v>
      </c>
      <c r="B4">
        <v>179</v>
      </c>
      <c r="C4">
        <v>169</v>
      </c>
      <c r="D4" s="4">
        <f>((2 - $F$2) *C4 + B4)/(3 - $F$2)</f>
        <v>175.66666666666666</v>
      </c>
      <c r="E4">
        <f>((2 - $F$2) *2 + 2)/(3 - $F$2)</f>
        <v>2</v>
      </c>
    </row>
    <row r="5" spans="1:6" x14ac:dyDescent="0.35">
      <c r="A5" s="1" t="s">
        <v>3</v>
      </c>
      <c r="B5">
        <v>254</v>
      </c>
      <c r="C5">
        <v>241</v>
      </c>
      <c r="D5" s="4">
        <f>((2 - $F$2) *C5 + B5)/(3 - $F$2)</f>
        <v>249.66666666666666</v>
      </c>
      <c r="E5">
        <f>((2 - $F$2) *2 + 2)/(3 - $F$2)</f>
        <v>2</v>
      </c>
    </row>
    <row r="6" spans="1:6" x14ac:dyDescent="0.35">
      <c r="A6" s="1" t="s">
        <v>1</v>
      </c>
      <c r="B6">
        <f>-95 -7</f>
        <v>-102</v>
      </c>
      <c r="C6">
        <f>-92 + 7</f>
        <v>-85</v>
      </c>
      <c r="D6" s="4">
        <f>((2 - $F$2) *C6 + B6)/(3 - $F$2)</f>
        <v>-96.333333333333329</v>
      </c>
      <c r="E6">
        <f>((2 - $F$2) *4 + 4)/(3 - $F$2)</f>
        <v>4</v>
      </c>
    </row>
    <row r="7" spans="1:6" x14ac:dyDescent="0.35">
      <c r="A7" s="1" t="s">
        <v>2</v>
      </c>
      <c r="B7">
        <v>61</v>
      </c>
      <c r="C7">
        <v>41</v>
      </c>
      <c r="D7" s="4">
        <f>((2 - $F$2) *C7 + B7)/(3 - $F$2)</f>
        <v>54.333333333333336</v>
      </c>
      <c r="E7">
        <f>((2 - $F$2) *2 + 2)/(3 - $F$2)</f>
        <v>2</v>
      </c>
    </row>
  </sheetData>
  <sortState ref="A2:E7">
    <sortCondition ref="A2:A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H14" sqref="H14"/>
    </sheetView>
  </sheetViews>
  <sheetFormatPr defaultRowHeight="14.5" x14ac:dyDescent="0.35"/>
  <sheetData>
    <row r="1" spans="1:9" x14ac:dyDescent="0.35">
      <c r="A1" t="s">
        <v>20</v>
      </c>
      <c r="F1" t="s">
        <v>19</v>
      </c>
    </row>
    <row r="2" spans="1:9" x14ac:dyDescent="0.35">
      <c r="A2" t="s">
        <v>15</v>
      </c>
      <c r="B2" t="s">
        <v>16</v>
      </c>
      <c r="C2" t="s">
        <v>17</v>
      </c>
      <c r="D2" t="s">
        <v>18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35">
      <c r="A3">
        <v>240</v>
      </c>
      <c r="B3">
        <v>1187</v>
      </c>
      <c r="C3">
        <f>640-7</f>
        <v>633</v>
      </c>
      <c r="D3">
        <v>796</v>
      </c>
      <c r="F3">
        <v>229</v>
      </c>
      <c r="G3">
        <v>1189</v>
      </c>
      <c r="H3">
        <f>636-7</f>
        <v>629</v>
      </c>
      <c r="I3">
        <v>799</v>
      </c>
    </row>
    <row r="5" spans="1:9" x14ac:dyDescent="0.35">
      <c r="A5" t="s">
        <v>53</v>
      </c>
      <c r="B5" t="s">
        <v>54</v>
      </c>
      <c r="C5" t="s">
        <v>55</v>
      </c>
    </row>
    <row r="6" spans="1:9" x14ac:dyDescent="0.35">
      <c r="A6" t="s">
        <v>15</v>
      </c>
      <c r="B6" t="s">
        <v>16</v>
      </c>
      <c r="C6" t="s">
        <v>17</v>
      </c>
      <c r="D6" t="s">
        <v>18</v>
      </c>
      <c r="F6" t="s">
        <v>15</v>
      </c>
      <c r="G6" t="s">
        <v>16</v>
      </c>
      <c r="H6" t="s">
        <v>17</v>
      </c>
      <c r="I6" t="s">
        <v>18</v>
      </c>
    </row>
    <row r="7" spans="1:9" x14ac:dyDescent="0.35">
      <c r="A7">
        <v>239</v>
      </c>
      <c r="B7">
        <v>1153</v>
      </c>
      <c r="C7">
        <v>628</v>
      </c>
      <c r="D7">
        <v>764</v>
      </c>
      <c r="F7">
        <v>241</v>
      </c>
      <c r="G7">
        <v>1148</v>
      </c>
      <c r="H7">
        <v>628</v>
      </c>
      <c r="I7">
        <v>760</v>
      </c>
    </row>
    <row r="8" spans="1:9" x14ac:dyDescent="0.35">
      <c r="B8" t="s">
        <v>59</v>
      </c>
      <c r="C8">
        <f>B7-D7</f>
        <v>389</v>
      </c>
      <c r="G8" t="s">
        <v>59</v>
      </c>
      <c r="H8">
        <f>G7-I7</f>
        <v>388</v>
      </c>
    </row>
    <row r="10" spans="1:9" x14ac:dyDescent="0.35">
      <c r="A10" t="s">
        <v>56</v>
      </c>
      <c r="B10" t="s">
        <v>57</v>
      </c>
      <c r="C10" t="s">
        <v>58</v>
      </c>
    </row>
    <row r="11" spans="1:9" x14ac:dyDescent="0.35">
      <c r="A11" t="s">
        <v>15</v>
      </c>
      <c r="B11" t="s">
        <v>16</v>
      </c>
      <c r="C11" t="s">
        <v>17</v>
      </c>
      <c r="D11" t="s">
        <v>18</v>
      </c>
      <c r="F11" t="s">
        <v>15</v>
      </c>
      <c r="G11" t="s">
        <v>16</v>
      </c>
      <c r="H11" t="s">
        <v>17</v>
      </c>
      <c r="I11" t="s">
        <v>18</v>
      </c>
    </row>
    <row r="12" spans="1:9" x14ac:dyDescent="0.35">
      <c r="A12">
        <v>215</v>
      </c>
      <c r="B12">
        <v>1176</v>
      </c>
      <c r="C12">
        <v>900</v>
      </c>
      <c r="D12">
        <v>494</v>
      </c>
      <c r="F12">
        <v>218</v>
      </c>
      <c r="G12">
        <v>1175</v>
      </c>
      <c r="H12">
        <v>904</v>
      </c>
      <c r="I12">
        <v>490</v>
      </c>
    </row>
    <row r="13" spans="1:9" x14ac:dyDescent="0.35">
      <c r="B13" t="s">
        <v>59</v>
      </c>
      <c r="C13">
        <f>B12-D12</f>
        <v>682</v>
      </c>
      <c r="G13" t="s">
        <v>59</v>
      </c>
      <c r="H13">
        <f>G12-I12</f>
        <v>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H20" sqref="H20"/>
    </sheetView>
  </sheetViews>
  <sheetFormatPr defaultRowHeight="14.5" x14ac:dyDescent="0.35"/>
  <cols>
    <col min="1" max="1" width="14.90625" bestFit="1" customWidth="1"/>
    <col min="2" max="2" width="22.90625" bestFit="1" customWidth="1"/>
    <col min="4" max="4" width="20.7265625" bestFit="1" customWidth="1"/>
  </cols>
  <sheetData>
    <row r="1" spans="1:5" x14ac:dyDescent="0.35">
      <c r="A1" t="s">
        <v>21</v>
      </c>
      <c r="B1" t="s">
        <v>22</v>
      </c>
      <c r="D1" t="s">
        <v>23</v>
      </c>
    </row>
    <row r="2" spans="1:5" x14ac:dyDescent="0.35">
      <c r="A2" t="s">
        <v>30</v>
      </c>
      <c r="D2" t="s">
        <v>24</v>
      </c>
      <c r="E2" t="s">
        <v>25</v>
      </c>
    </row>
    <row r="3" spans="1:5" x14ac:dyDescent="0.35">
      <c r="A3" t="s">
        <v>31</v>
      </c>
      <c r="D3" t="s">
        <v>27</v>
      </c>
      <c r="E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RowHeight="14.5" x14ac:dyDescent="0.35"/>
  <sheetData>
    <row r="1" spans="1:4" x14ac:dyDescent="0.35">
      <c r="A1" t="s">
        <v>29</v>
      </c>
      <c r="C1" t="s">
        <v>22</v>
      </c>
    </row>
    <row r="2" spans="1:4" x14ac:dyDescent="0.35">
      <c r="A2" t="s">
        <v>28</v>
      </c>
    </row>
    <row r="3" spans="1:4" x14ac:dyDescent="0.35">
      <c r="C3" t="s">
        <v>32</v>
      </c>
      <c r="D3" t="s">
        <v>33</v>
      </c>
    </row>
    <row r="4" spans="1:4" x14ac:dyDescent="0.35">
      <c r="C4">
        <v>107</v>
      </c>
      <c r="D4">
        <v>289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9" sqref="B9"/>
    </sheetView>
  </sheetViews>
  <sheetFormatPr defaultRowHeight="14.5" x14ac:dyDescent="0.35"/>
  <cols>
    <col min="1" max="1" width="35.7265625" bestFit="1" customWidth="1"/>
  </cols>
  <sheetData>
    <row r="1" spans="1:9" x14ac:dyDescent="0.35">
      <c r="A1" t="s">
        <v>34</v>
      </c>
      <c r="D1" t="s">
        <v>36</v>
      </c>
      <c r="F1" t="s">
        <v>39</v>
      </c>
    </row>
    <row r="2" spans="1:9" x14ac:dyDescent="0.35">
      <c r="A2" t="s">
        <v>35</v>
      </c>
      <c r="D2">
        <v>46</v>
      </c>
      <c r="E2" t="s">
        <v>37</v>
      </c>
      <c r="F2" t="s">
        <v>16</v>
      </c>
      <c r="G2" t="s">
        <v>38</v>
      </c>
    </row>
    <row r="3" spans="1:9" x14ac:dyDescent="0.35">
      <c r="I3" t="s">
        <v>40</v>
      </c>
    </row>
    <row r="4" spans="1:9" x14ac:dyDescent="0.35">
      <c r="E4">
        <v>375</v>
      </c>
      <c r="F4">
        <v>1127</v>
      </c>
      <c r="G4">
        <v>1353</v>
      </c>
    </row>
    <row r="5" spans="1:9" x14ac:dyDescent="0.35">
      <c r="E5">
        <v>475</v>
      </c>
      <c r="F5">
        <v>1027</v>
      </c>
      <c r="G5">
        <v>1355</v>
      </c>
    </row>
    <row r="8" spans="1:9" x14ac:dyDescent="0.35">
      <c r="B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оценка фокусов линз</vt:lpstr>
      <vt:lpstr>1определение фокусных расстояни</vt:lpstr>
      <vt:lpstr>1 вариант 2</vt:lpstr>
      <vt:lpstr>2 два  (2) (two) бессель </vt:lpstr>
      <vt:lpstr>4 телескоп галлилея</vt:lpstr>
      <vt:lpstr>5 микроскоп</vt:lpstr>
      <vt:lpstr>6 измерение составной системы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2026-04-24T10:59:31Z</dcterms:created>
  <dcterms:modified xsi:type="dcterms:W3CDTF">2026-05-16T01:24:14Z</dcterms:modified>
</cp:coreProperties>
</file>